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uawei\Desktop\Hanan\"/>
    </mc:Choice>
  </mc:AlternateContent>
  <xr:revisionPtr revIDLastSave="0" documentId="8_{C6649DBA-B512-43C5-9F9E-28AE4E3E5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 Me" sheetId="1" r:id="rId1"/>
    <sheet name="Source Data" sheetId="2" r:id="rId2"/>
    <sheet name="Dashboard Data" sheetId="3" r:id="rId3"/>
    <sheet name="KPI Calculations" sheetId="4" r:id="rId4"/>
    <sheet name="Data Validation" sheetId="5" r:id="rId5"/>
    <sheet name="Data Dictionary" sheetId="6" r:id="rId6"/>
    <sheet name="Source Mapping" sheetId="7" r:id="rId7"/>
  </sheets>
  <definedNames>
    <definedName name="_xlnm._FilterDatabase" localSheetId="2" hidden="1">'Dashboard Data'!$A$4:$F$74</definedName>
    <definedName name="_xlnm._FilterDatabase" localSheetId="5" hidden="1">'Data Dictionary'!$A$4:$F$10</definedName>
    <definedName name="_xlnm._FilterDatabase" localSheetId="4" hidden="1">'Data Validation'!$A$4:$E$15</definedName>
    <definedName name="_xlnm._FilterDatabase" localSheetId="3" hidden="1">'KPI Calculations'!$A$4:$E$99</definedName>
    <definedName name="_xlnm._FilterDatabase" localSheetId="1" hidden="1">'Source Data'!$A$4:$F$74</definedName>
    <definedName name="_xlnm._FilterDatabase" localSheetId="6" hidden="1">'Source Mapping'!$A$4:$F$9</definedName>
  </definedNames>
  <calcPr calcId="0"/>
</workbook>
</file>

<file path=xl/sharedStrings.xml><?xml version="1.0" encoding="utf-8"?>
<sst xmlns="http://schemas.openxmlformats.org/spreadsheetml/2006/main" count="1024" uniqueCount="195">
  <si>
    <t>STC Financial Performance Dashboard — Data Pack</t>
  </si>
  <si>
    <t>Independent portfolio project | Saudi Telecom Company (stc) | FY2021–FY2025</t>
  </si>
  <si>
    <t>Company</t>
  </si>
  <si>
    <t>Saudi Telecom Company (stc), consolidated Group figures</t>
  </si>
  <si>
    <t>Reporting period</t>
  </si>
  <si>
    <t>Fiscal years ended 31 December 2021–2025</t>
  </si>
  <si>
    <t>Currency and unit</t>
  </si>
  <si>
    <t>Saudi Riyals (SAR), thousands, unless otherwise stated</t>
  </si>
  <si>
    <t>Primary sources</t>
  </si>
  <si>
    <t>Official stc annual reports 2021, 2022, 2023, 2024 and 2025; links are listed in the Source Mapping sheet and README.</t>
  </si>
  <si>
    <t>Methodology note</t>
  </si>
  <si>
    <t>Reported consolidated net profit is used. For 2024 and 2025 it includes discontinued operations as presented in the consolidated statement of profit or loss; this is documented rather than adjusted.</t>
  </si>
  <si>
    <t>Limitations</t>
  </si>
  <si>
    <t>No original workbook was supplied. Current-assets comparatives can be reclassified in later reports; the 2024 current-assets figure follows the 2025 comparative presentation and is flagged in the source note. Free cash flow is omitted because capital expenditure is not consistently isolated in all years.</t>
  </si>
  <si>
    <t>Source Data</t>
  </si>
  <si>
    <t>Reported consolidated figures only; amounts in SAR thousands</t>
  </si>
  <si>
    <t>Year</t>
  </si>
  <si>
    <t>Statement</t>
  </si>
  <si>
    <t>Account</t>
  </si>
  <si>
    <t>Amount (SAR thousands)</t>
  </si>
  <si>
    <t>Value Type</t>
  </si>
  <si>
    <t>Source / Note</t>
  </si>
  <si>
    <t>Income Statement</t>
  </si>
  <si>
    <t>Revenue</t>
  </si>
  <si>
    <t>Reported</t>
  </si>
  <si>
    <t>Annual Report 2021, consolidated statement of profit or loss</t>
  </si>
  <si>
    <t>Cost of Revenue</t>
  </si>
  <si>
    <t>Gross Profit</t>
  </si>
  <si>
    <t>Operating Profit</t>
  </si>
  <si>
    <t>Net Profit</t>
  </si>
  <si>
    <t>Balance Sheet</t>
  </si>
  <si>
    <t>Total Assets</t>
  </si>
  <si>
    <t>Annual Report 2021, consolidated statement of financial position</t>
  </si>
  <si>
    <t>Current Assets</t>
  </si>
  <si>
    <t>Total Liabilities</t>
  </si>
  <si>
    <t>Current Liabilities</t>
  </si>
  <si>
    <t>Total Equity</t>
  </si>
  <si>
    <t>Annual Report 2021, consolidated statement of financial position; assets less liabilities</t>
  </si>
  <si>
    <t>Cash Flow</t>
  </si>
  <si>
    <t>Operating Cash Flow</t>
  </si>
  <si>
    <t>Annual Report 2021, consolidated statement of cash flows</t>
  </si>
  <si>
    <t>Investing Cash Flow</t>
  </si>
  <si>
    <t>Financing Cash Flow</t>
  </si>
  <si>
    <t>Ending Cash and Cash Equivalents</t>
  </si>
  <si>
    <t>Annual Report 2022, consolidated statement of profit or loss</t>
  </si>
  <si>
    <t>Annual Report 2022, consolidated statement of financial position</t>
  </si>
  <si>
    <t>Annual Report 2022, consolidated statement of cash flows</t>
  </si>
  <si>
    <t>Annual Report 2023, consolidated statement of profit or loss</t>
  </si>
  <si>
    <t>Annual Report 2023, consolidated statement of financial position</t>
  </si>
  <si>
    <t>Annual Report 2023, consolidated statement of cash flows</t>
  </si>
  <si>
    <t>Annual Report 2024, consolidated statement of profit or loss</t>
  </si>
  <si>
    <t>Annual Report 2024, consolidated statement of profit or loss; includes discontinued operations</t>
  </si>
  <si>
    <t>Annual Report 2024, consolidated statement of financial position</t>
  </si>
  <si>
    <t>Annual Report 2025 comparative presentation; reclassified comparative</t>
  </si>
  <si>
    <t>Annual Report 2024, consolidated statement of cash flows</t>
  </si>
  <si>
    <t>Annual Report 2025, consolidated statement of profit or loss</t>
  </si>
  <si>
    <t>Annual Report 2025, consolidated statement of profit or loss; includes discontinued operations</t>
  </si>
  <si>
    <t>Annual Report 2025, consolidated statement of financial position</t>
  </si>
  <si>
    <t>Annual Report 2025, consolidated statement of cash flows</t>
  </si>
  <si>
    <t>Dashboard Data</t>
  </si>
  <si>
    <t>Normalized fact table for Power BI; reported and calculated values remain distinguishable</t>
  </si>
  <si>
    <t>KPI Calculations</t>
  </si>
  <si>
    <t>Calculated indicators using the normalized reported data; display formats distinguish percentages and ratios</t>
  </si>
  <si>
    <t>Metric</t>
  </si>
  <si>
    <t>Value</t>
  </si>
  <si>
    <t>Formula / Note</t>
  </si>
  <si>
    <t>Reported annual revenue</t>
  </si>
  <si>
    <t>Revenue Growth %</t>
  </si>
  <si>
    <t>Calculated</t>
  </si>
  <si>
    <t>(Current revenue / Previous revenue) - 1; N/A for 2021</t>
  </si>
  <si>
    <t>Gross Profit Margin %</t>
  </si>
  <si>
    <t>Gross profit / Revenue</t>
  </si>
  <si>
    <t>Operating Profit Margin %</t>
  </si>
  <si>
    <t>Operating profit / Revenue</t>
  </si>
  <si>
    <t>Net Profit Margin %</t>
  </si>
  <si>
    <t>Consolidated net profit / Revenue</t>
  </si>
  <si>
    <t>Net Profit Growth %</t>
  </si>
  <si>
    <t>(Current net profit / Previous net profit) - 1; N/A for 2021</t>
  </si>
  <si>
    <t>Reported total assets</t>
  </si>
  <si>
    <t>Reported total liabilities</t>
  </si>
  <si>
    <t>Reported total equity</t>
  </si>
  <si>
    <t>Current Ratio</t>
  </si>
  <si>
    <t>Current assets / Current liabilities</t>
  </si>
  <si>
    <t>Debt Ratio %</t>
  </si>
  <si>
    <t>Total liabilities / Total assets; label is based on total liabilities, not interest-bearing debt</t>
  </si>
  <si>
    <t>Liabilities-to-Equity Ratio</t>
  </si>
  <si>
    <t>Total liabilities / Total equity</t>
  </si>
  <si>
    <t>ROA %</t>
  </si>
  <si>
    <t>Net profit / closing total assets; average-assets version omitted because 2020 opening balance was not included</t>
  </si>
  <si>
    <t>ROE %</t>
  </si>
  <si>
    <t>Net profit / closing total equity; average-equity version omitted because 2020 opening balance was not included</t>
  </si>
  <si>
    <t>Net cash generated from operating activities</t>
  </si>
  <si>
    <t>Net cash generated from / used in investing activities</t>
  </si>
  <si>
    <t>Net cash from / used in financing activities</t>
  </si>
  <si>
    <t>Operating Cash Flow to Net Profit</t>
  </si>
  <si>
    <t>Operating cash flow / consolidated net profit</t>
  </si>
  <si>
    <t>Ending cash and cash equivalents</t>
  </si>
  <si>
    <t>Data Validation</t>
  </si>
  <si>
    <t>Quality checks performed against the extracted five-year dataset</t>
  </si>
  <si>
    <t>Check Performed</t>
  </si>
  <si>
    <t>Expected Result</t>
  </si>
  <si>
    <t>Actual Result</t>
  </si>
  <si>
    <t>Status</t>
  </si>
  <si>
    <t>Explanation / Limitation</t>
  </si>
  <si>
    <t>Five fiscal years present</t>
  </si>
  <si>
    <t>2021, 2022, 2023, 2024, 2025</t>
  </si>
  <si>
    <t>PASS</t>
  </si>
  <si>
    <t>All requested years are present exactly once per metric.</t>
  </si>
  <si>
    <t>Required account coverage</t>
  </si>
  <si>
    <t>5 years for each required account</t>
  </si>
  <si>
    <t>All required dashboard accounts present</t>
  </si>
  <si>
    <t>Validated against the extraction list used to build the fact table.</t>
  </si>
  <si>
    <t>Duplicate year/account rows</t>
  </si>
  <si>
    <t>No duplicates</t>
  </si>
  <si>
    <t>No duplicate Year + Account combinations</t>
  </si>
  <si>
    <t>The normalized table contains one row per metric and year.</t>
  </si>
  <si>
    <t>SAR thousands</t>
  </si>
  <si>
    <t>Each annual report statement states Saudi Riyals thousands unless otherwise stated.</t>
  </si>
  <si>
    <t>Revenue less cost of revenue equals gross profit</t>
  </si>
  <si>
    <t>Reconciles for all years</t>
  </si>
  <si>
    <t>Reconciles for 2021–2025</t>
  </si>
  <si>
    <t>Cost of revenue is stored as a negative reported expense; Revenue + Cost of Revenue = Gross Profit.</t>
  </si>
  <si>
    <t>Assets = liabilities + equity</t>
  </si>
  <si>
    <t>Rounded statement totals reconcile exactly in the extracted values.</t>
  </si>
  <si>
    <t>Cash-flow sign convention</t>
  </si>
  <si>
    <t>Inflows positive; outflows negative</t>
  </si>
  <si>
    <t>Preserved from statements</t>
  </si>
  <si>
    <t>Investing and financing outflows remain negative; 2025 investing cash flow is positive as reported.</t>
  </si>
  <si>
    <t>Growth baseline</t>
  </si>
  <si>
    <t>2021 shown as N/A</t>
  </si>
  <si>
    <t>2021 N/A; 2022–2025 calculated</t>
  </si>
  <si>
    <t>No 2020 data was added solely to create a baseline.</t>
  </si>
  <si>
    <t>Average-balance ROA/ROE</t>
  </si>
  <si>
    <t>Requires verified 2020 closing balances</t>
  </si>
  <si>
    <t>Not used</t>
  </si>
  <si>
    <t>LIMITATION</t>
  </si>
  <si>
    <t>Closing-balance ROA/ROE are used and clearly labeled; average-balance versions need verified 2020 balances.</t>
  </si>
  <si>
    <t>Free cash flow</t>
  </si>
  <si>
    <t>Only when capex is consistently identifiable</t>
  </si>
  <si>
    <t>Omitted</t>
  </si>
  <si>
    <t>Capex is not isolated consistently enough across all five years for a comparable FCF series.</t>
  </si>
  <si>
    <t>2024 current assets comparative</t>
  </si>
  <si>
    <t>Traceable and consistent</t>
  </si>
  <si>
    <t>2024 uses 2025 comparative presentation</t>
  </si>
  <si>
    <t>NOTE</t>
  </si>
  <si>
    <t>The 2025 report presents a reclassified 2024 current-assets comparative; source note flags this choice.</t>
  </si>
  <si>
    <t>Data Dictionary</t>
  </si>
  <si>
    <t>Definitions for the Power BI-ready fields</t>
  </si>
  <si>
    <t>Field Name</t>
  </si>
  <si>
    <t>Description</t>
  </si>
  <si>
    <t>Data Type</t>
  </si>
  <si>
    <t>Unit</t>
  </si>
  <si>
    <t>Definition</t>
  </si>
  <si>
    <t>Reported or Calculated</t>
  </si>
  <si>
    <t>Fiscal year of the consolidated reporting period</t>
  </si>
  <si>
    <t>Whole number</t>
  </si>
  <si>
    <t>Year ended 31 December</t>
  </si>
  <si>
    <t>Financial statement grouping</t>
  </si>
  <si>
    <t>Text</t>
  </si>
  <si>
    <t>Label</t>
  </si>
  <si>
    <t>Income Statement, Balance Sheet or Cash Flow</t>
  </si>
  <si>
    <t>Normalized metric label</t>
  </si>
  <si>
    <t>Dashboard account name mapped to the official statement line</t>
  </si>
  <si>
    <t>Amount</t>
  </si>
  <si>
    <t>Metric amount</t>
  </si>
  <si>
    <t>Decimal</t>
  </si>
  <si>
    <t>Reported amount or calculated amount depending on Value Type</t>
  </si>
  <si>
    <t>Mixed</t>
  </si>
  <si>
    <t>Nature of the value</t>
  </si>
  <si>
    <t>Metadata</t>
  </si>
  <si>
    <t>Traceability and limitations</t>
  </si>
  <si>
    <t>Official report location or methodological note</t>
  </si>
  <si>
    <t>Source Mapping</t>
  </si>
  <si>
    <t>Official source links and extraction notes</t>
  </si>
  <si>
    <t>Source Document</t>
  </si>
  <si>
    <t>Fiscal Year</t>
  </si>
  <si>
    <t>Official URL</t>
  </si>
  <si>
    <t>Relevant Statements</t>
  </si>
  <si>
    <t>Notes</t>
  </si>
  <si>
    <t>Annual Report 2021</t>
  </si>
  <si>
    <t>https://www.stc.com/content/dam/groupsites/en/pdf/AnnualReport2021-En-new.pdf</t>
  </si>
  <si>
    <t>Profit or loss; financial position; cash flows</t>
  </si>
  <si>
    <t>Official stc annual report. Used for 2021 figures and comparative checks.</t>
  </si>
  <si>
    <t>Annual Report 2022</t>
  </si>
  <si>
    <t>https://www.stc.com/content/dam/groupsites/en/pdf/2022stc-annual-report-english-new3.pdf</t>
  </si>
  <si>
    <t>Official stc annual report. Includes detailed 2022 and 2021 comparative tables.</t>
  </si>
  <si>
    <t>Annual Report 2023</t>
  </si>
  <si>
    <t>https://www.stc.com/content/dam/groupsites/en/pdf/stc2023-annual-report-en-v7new.pdf</t>
  </si>
  <si>
    <t>Official stc annual report. Includes detailed 2023 and 2022 comparative tables.</t>
  </si>
  <si>
    <t>Annual Report 2024</t>
  </si>
  <si>
    <t>https://www.stc.com/content/dam/groupsites/en/pdf/stc2024-annual-report-en-new.pdf</t>
  </si>
  <si>
    <t>Official stc annual report. 2024 net profit includes discontinued operations as presented.</t>
  </si>
  <si>
    <t>Annual Report 2025</t>
  </si>
  <si>
    <t>https://www.stc.com/content/dam/groupsites/en/pdf/stc2025-annual-report-en.pdf</t>
  </si>
  <si>
    <t>Official stc annual report. Used for 2025 figures and 2024 comparative current-assets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</si>
</sst>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0.0%;[Red]\(0.0%\);\-"/>
    <numFmt numFmtId="166" formatCode="0.00\x;[Red]\(0.00\x\);\-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5B6573"/>
      <name val="Aptos"/>
    </font>
    <font>
      <b/>
      <sz val="11"/>
      <color rgb="FFFFFFFF"/>
      <name val="Calibri"/>
    </font>
    <font>
      <b/>
      <sz val="11"/>
      <color rgb="FF5B2C83"/>
      <name val="Aptos"/>
    </font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b/>
      <sz val="11"/>
      <color rgb="FF1F2937"/>
      <name val="Aptos"/>
    </font>
  </fonts>
  <fills count="8">
    <fill>
      <patternFill patternType="none"/>
    </fill>
    <fill>
      <patternFill patternType="gray125"/>
    </fill>
    <fill>
      <patternFill patternType="solid">
        <fgColor rgb="FF5B2C83"/>
      </patternFill>
    </fill>
    <fill>
      <patternFill patternType="solid">
        <fgColor rgb="FFF3F4F6"/>
      </patternFill>
    </fill>
    <fill>
      <patternFill patternType="solid">
        <fgColor rgb="FF5B6573"/>
      </patternFill>
    </fill>
    <fill>
      <patternFill patternType="solid">
        <fgColor rgb="FF16825D"/>
      </patternFill>
    </fill>
    <fill>
      <patternFill patternType="solid">
        <fgColor rgb="FFFFF3CD"/>
      </patternFill>
    </fill>
    <fill>
      <patternFill patternType="solid">
        <fgColor rgb="FFB7791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2C83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2" xfId="0" applyFont="1" applyFill="1" applyBorder="1"/>
    <xf numFmtId="0" fontId="5" fillId="0" borderId="2" xfId="0" applyFont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0" fontId="5" fillId="0" borderId="2" xfId="0" applyFont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165" fontId="0" fillId="0" borderId="0" xfId="0" applyNumberFormat="1"/>
    <xf numFmtId="165" fontId="5" fillId="0" borderId="2" xfId="0" applyNumberFormat="1" applyFont="1" applyBorder="1"/>
    <xf numFmtId="166" fontId="5" fillId="0" borderId="2" xfId="0" applyNumberFormat="1" applyFont="1" applyBorder="1"/>
    <xf numFmtId="0" fontId="6" fillId="5" borderId="2" xfId="0" applyFont="1" applyFill="1" applyBorder="1"/>
    <xf numFmtId="0" fontId="7" fillId="6" borderId="2" xfId="0" applyFont="1" applyFill="1" applyBorder="1"/>
    <xf numFmtId="0" fontId="7" fillId="7" borderId="2" xfId="0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Revenue and Net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'KPI Calculations'!$H$4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'KPI Calculations'!$G$5:$G$9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'KPI Calculations'!$H$5:$H$9</c:f>
              <c:numCache>
                <c:formatCode>General</c:formatCode>
                <c:ptCount val="5"/>
                <c:pt idx="0">
                  <c:v>63007986</c:v>
                </c:pt>
                <c:pt idx="1">
                  <c:v>67431546</c:v>
                </c:pt>
                <c:pt idx="2">
                  <c:v>71777161</c:v>
                </c:pt>
                <c:pt idx="3">
                  <c:v>75893413</c:v>
                </c:pt>
                <c:pt idx="4">
                  <c:v>77818675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D0-45C8-84B6-FB2F909B2C8C}"/>
            </c:ext>
          </c:extLst>
        </c:ser>
        <c:ser>
          <c:idx val="1"/>
          <c:order val="1"/>
          <c:tx>
            <c:strRef>
              <c:f>'KPI Calculations'!$I$4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'KPI Calculations'!$G$5:$G$9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'KPI Calculations'!$I$5:$I$9</c:f>
              <c:numCache>
                <c:formatCode>General</c:formatCode>
                <c:ptCount val="5"/>
                <c:pt idx="0">
                  <c:v>11594697</c:v>
                </c:pt>
                <c:pt idx="1">
                  <c:v>12386922</c:v>
                </c:pt>
                <c:pt idx="2">
                  <c:v>13419479</c:v>
                </c:pt>
                <c:pt idx="3">
                  <c:v>24916243</c:v>
                </c:pt>
                <c:pt idx="4">
                  <c:v>15134945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D0-45C8-84B6-FB2F909B2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SAR thousands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showGridLines="0" tabSelected="1" workbookViewId="0">
      <pane ySplit="3" topLeftCell="A4" activePane="bottomLeft" state="frozen"/>
      <selection pane="bottomLeft" activeCell="B17" sqref="B17"/>
    </sheetView>
  </sheetViews>
  <sheetFormatPr defaultRowHeight="14.4" x14ac:dyDescent="0.3"/>
  <cols>
    <col min="1" max="1" width="26" customWidth="1"/>
    <col min="2" max="2" width="105" customWidth="1"/>
  </cols>
  <sheetData>
    <row r="1" spans="1:8" ht="23.4" x14ac:dyDescent="0.45">
      <c r="A1" s="16" t="s">
        <v>0</v>
      </c>
      <c r="B1" s="15"/>
      <c r="C1" s="15"/>
      <c r="D1" s="15"/>
      <c r="E1" s="15"/>
      <c r="F1" s="15"/>
      <c r="G1" s="15"/>
      <c r="H1" s="15"/>
    </row>
    <row r="2" spans="1:8" x14ac:dyDescent="0.3">
      <c r="A2" s="14" t="s">
        <v>1</v>
      </c>
      <c r="B2" s="15"/>
      <c r="C2" s="15"/>
      <c r="D2" s="15"/>
      <c r="E2" s="15"/>
      <c r="F2" s="15"/>
      <c r="G2" s="15"/>
      <c r="H2" s="15"/>
    </row>
    <row r="4" spans="1:8" x14ac:dyDescent="0.3">
      <c r="A4" s="1" t="s">
        <v>2</v>
      </c>
      <c r="B4" s="2" t="s">
        <v>3</v>
      </c>
    </row>
    <row r="5" spans="1:8" x14ac:dyDescent="0.3">
      <c r="A5" s="1" t="s">
        <v>4</v>
      </c>
      <c r="B5" s="2" t="s">
        <v>5</v>
      </c>
    </row>
    <row r="6" spans="1:8" x14ac:dyDescent="0.3">
      <c r="A6" s="1" t="s">
        <v>6</v>
      </c>
      <c r="B6" s="2" t="s">
        <v>7</v>
      </c>
    </row>
    <row r="7" spans="1:8" x14ac:dyDescent="0.3">
      <c r="A7" s="1" t="s">
        <v>8</v>
      </c>
      <c r="B7" s="2" t="s">
        <v>9</v>
      </c>
    </row>
    <row r="8" spans="1:8" ht="28.8" x14ac:dyDescent="0.3">
      <c r="A8" s="1" t="s">
        <v>10</v>
      </c>
      <c r="B8" s="2" t="s">
        <v>11</v>
      </c>
    </row>
    <row r="9" spans="1:8" ht="43.2" x14ac:dyDescent="0.3">
      <c r="A9" s="1" t="s">
        <v>12</v>
      </c>
      <c r="B9" s="2" t="s">
        <v>13</v>
      </c>
    </row>
  </sheetData>
  <mergeCells count="2">
    <mergeCell ref="A2:H2"/>
    <mergeCell ref="A1:H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4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18" customWidth="1"/>
    <col min="3" max="3" width="28" customWidth="1"/>
    <col min="4" max="4" width="18" customWidth="1"/>
    <col min="5" max="5" width="16" customWidth="1"/>
    <col min="6" max="6" width="75" customWidth="1"/>
  </cols>
  <sheetData>
    <row r="1" spans="1:8" ht="23.4" x14ac:dyDescent="0.45">
      <c r="A1" s="16" t="s">
        <v>14</v>
      </c>
      <c r="B1" s="15"/>
      <c r="C1" s="15"/>
      <c r="D1" s="15"/>
      <c r="E1" s="15"/>
      <c r="F1" s="15"/>
      <c r="G1" s="15"/>
      <c r="H1" s="15"/>
    </row>
    <row r="2" spans="1:8" x14ac:dyDescent="0.3">
      <c r="A2" s="14" t="s">
        <v>15</v>
      </c>
      <c r="B2" s="15"/>
      <c r="C2" s="15"/>
      <c r="D2" s="15"/>
      <c r="E2" s="15"/>
      <c r="F2" s="15"/>
      <c r="G2" s="15"/>
      <c r="H2" s="15"/>
    </row>
    <row r="4" spans="1:8" ht="28.8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8" x14ac:dyDescent="0.3">
      <c r="A5" s="4">
        <v>2021</v>
      </c>
      <c r="B5" s="4" t="s">
        <v>22</v>
      </c>
      <c r="C5" s="4" t="s">
        <v>23</v>
      </c>
      <c r="D5" s="5">
        <v>63007986</v>
      </c>
      <c r="E5" s="4" t="s">
        <v>24</v>
      </c>
      <c r="F5" s="6" t="s">
        <v>25</v>
      </c>
    </row>
    <row r="6" spans="1:8" x14ac:dyDescent="0.3">
      <c r="A6" s="4">
        <v>2021</v>
      </c>
      <c r="B6" s="4" t="s">
        <v>22</v>
      </c>
      <c r="C6" s="4" t="s">
        <v>26</v>
      </c>
      <c r="D6" s="5">
        <v>-29213957</v>
      </c>
      <c r="E6" s="4" t="s">
        <v>24</v>
      </c>
      <c r="F6" s="6" t="s">
        <v>25</v>
      </c>
    </row>
    <row r="7" spans="1:8" x14ac:dyDescent="0.3">
      <c r="A7" s="4">
        <v>2021</v>
      </c>
      <c r="B7" s="4" t="s">
        <v>22</v>
      </c>
      <c r="C7" s="4" t="s">
        <v>27</v>
      </c>
      <c r="D7" s="5">
        <v>33794029</v>
      </c>
      <c r="E7" s="4" t="s">
        <v>24</v>
      </c>
      <c r="F7" s="6" t="s">
        <v>25</v>
      </c>
    </row>
    <row r="8" spans="1:8" x14ac:dyDescent="0.3">
      <c r="A8" s="4">
        <v>2021</v>
      </c>
      <c r="B8" s="4" t="s">
        <v>22</v>
      </c>
      <c r="C8" s="4" t="s">
        <v>28</v>
      </c>
      <c r="D8" s="5">
        <v>13127755</v>
      </c>
      <c r="E8" s="4" t="s">
        <v>24</v>
      </c>
      <c r="F8" s="6" t="s">
        <v>25</v>
      </c>
    </row>
    <row r="9" spans="1:8" x14ac:dyDescent="0.3">
      <c r="A9" s="4">
        <v>2021</v>
      </c>
      <c r="B9" s="4" t="s">
        <v>22</v>
      </c>
      <c r="C9" s="4" t="s">
        <v>29</v>
      </c>
      <c r="D9" s="5">
        <v>11594697</v>
      </c>
      <c r="E9" s="4" t="s">
        <v>24</v>
      </c>
      <c r="F9" s="6" t="s">
        <v>25</v>
      </c>
    </row>
    <row r="10" spans="1:8" x14ac:dyDescent="0.3">
      <c r="A10" s="4">
        <v>2021</v>
      </c>
      <c r="B10" s="4" t="s">
        <v>30</v>
      </c>
      <c r="C10" s="4" t="s">
        <v>31</v>
      </c>
      <c r="D10" s="5">
        <v>121972100</v>
      </c>
      <c r="E10" s="4" t="s">
        <v>24</v>
      </c>
      <c r="F10" s="6" t="s">
        <v>32</v>
      </c>
    </row>
    <row r="11" spans="1:8" x14ac:dyDescent="0.3">
      <c r="A11" s="4">
        <v>2021</v>
      </c>
      <c r="B11" s="4" t="s">
        <v>30</v>
      </c>
      <c r="C11" s="4" t="s">
        <v>33</v>
      </c>
      <c r="D11" s="5">
        <v>51468074</v>
      </c>
      <c r="E11" s="4" t="s">
        <v>24</v>
      </c>
      <c r="F11" s="6" t="s">
        <v>32</v>
      </c>
    </row>
    <row r="12" spans="1:8" x14ac:dyDescent="0.3">
      <c r="A12" s="4">
        <v>2021</v>
      </c>
      <c r="B12" s="4" t="s">
        <v>30</v>
      </c>
      <c r="C12" s="4" t="s">
        <v>34</v>
      </c>
      <c r="D12" s="5">
        <v>56705085</v>
      </c>
      <c r="E12" s="4" t="s">
        <v>24</v>
      </c>
      <c r="F12" s="6" t="s">
        <v>32</v>
      </c>
    </row>
    <row r="13" spans="1:8" x14ac:dyDescent="0.3">
      <c r="A13" s="4">
        <v>2021</v>
      </c>
      <c r="B13" s="4" t="s">
        <v>30</v>
      </c>
      <c r="C13" s="4" t="s">
        <v>35</v>
      </c>
      <c r="D13" s="5">
        <v>33560552</v>
      </c>
      <c r="E13" s="4" t="s">
        <v>24</v>
      </c>
      <c r="F13" s="6" t="s">
        <v>32</v>
      </c>
    </row>
    <row r="14" spans="1:8" x14ac:dyDescent="0.3">
      <c r="A14" s="4">
        <v>2021</v>
      </c>
      <c r="B14" s="4" t="s">
        <v>30</v>
      </c>
      <c r="C14" s="4" t="s">
        <v>36</v>
      </c>
      <c r="D14" s="5">
        <v>71385979</v>
      </c>
      <c r="E14" s="4" t="s">
        <v>24</v>
      </c>
      <c r="F14" s="6" t="s">
        <v>37</v>
      </c>
    </row>
    <row r="15" spans="1:8" x14ac:dyDescent="0.3">
      <c r="A15" s="4">
        <v>2021</v>
      </c>
      <c r="B15" s="4" t="s">
        <v>38</v>
      </c>
      <c r="C15" s="4" t="s">
        <v>39</v>
      </c>
      <c r="D15" s="5">
        <v>11220155</v>
      </c>
      <c r="E15" s="4" t="s">
        <v>24</v>
      </c>
      <c r="F15" s="6" t="s">
        <v>40</v>
      </c>
    </row>
    <row r="16" spans="1:8" x14ac:dyDescent="0.3">
      <c r="A16" s="4">
        <v>2021</v>
      </c>
      <c r="B16" s="4" t="s">
        <v>38</v>
      </c>
      <c r="C16" s="4" t="s">
        <v>41</v>
      </c>
      <c r="D16" s="5">
        <v>-1714583</v>
      </c>
      <c r="E16" s="4" t="s">
        <v>24</v>
      </c>
      <c r="F16" s="6" t="s">
        <v>40</v>
      </c>
    </row>
    <row r="17" spans="1:6" x14ac:dyDescent="0.3">
      <c r="A17" s="4">
        <v>2021</v>
      </c>
      <c r="B17" s="4" t="s">
        <v>38</v>
      </c>
      <c r="C17" s="4" t="s">
        <v>42</v>
      </c>
      <c r="D17" s="5">
        <v>-10235177</v>
      </c>
      <c r="E17" s="4" t="s">
        <v>24</v>
      </c>
      <c r="F17" s="6" t="s">
        <v>40</v>
      </c>
    </row>
    <row r="18" spans="1:6" x14ac:dyDescent="0.3">
      <c r="A18" s="4">
        <v>2021</v>
      </c>
      <c r="B18" s="4" t="s">
        <v>38</v>
      </c>
      <c r="C18" s="4" t="s">
        <v>43</v>
      </c>
      <c r="D18" s="5">
        <v>8281301</v>
      </c>
      <c r="E18" s="4" t="s">
        <v>24</v>
      </c>
      <c r="F18" s="6" t="s">
        <v>40</v>
      </c>
    </row>
    <row r="19" spans="1:6" x14ac:dyDescent="0.3">
      <c r="A19" s="4">
        <v>2022</v>
      </c>
      <c r="B19" s="4" t="s">
        <v>22</v>
      </c>
      <c r="C19" s="4" t="s">
        <v>23</v>
      </c>
      <c r="D19" s="5">
        <v>67431546</v>
      </c>
      <c r="E19" s="4" t="s">
        <v>24</v>
      </c>
      <c r="F19" s="6" t="s">
        <v>44</v>
      </c>
    </row>
    <row r="20" spans="1:6" x14ac:dyDescent="0.3">
      <c r="A20" s="4">
        <v>2022</v>
      </c>
      <c r="B20" s="4" t="s">
        <v>22</v>
      </c>
      <c r="C20" s="4" t="s">
        <v>26</v>
      </c>
      <c r="D20" s="5">
        <v>-30038291</v>
      </c>
      <c r="E20" s="4" t="s">
        <v>24</v>
      </c>
      <c r="F20" s="6" t="s">
        <v>44</v>
      </c>
    </row>
    <row r="21" spans="1:6" x14ac:dyDescent="0.3">
      <c r="A21" s="4">
        <v>2022</v>
      </c>
      <c r="B21" s="4" t="s">
        <v>22</v>
      </c>
      <c r="C21" s="4" t="s">
        <v>27</v>
      </c>
      <c r="D21" s="5">
        <v>37393255</v>
      </c>
      <c r="E21" s="4" t="s">
        <v>24</v>
      </c>
      <c r="F21" s="6" t="s">
        <v>44</v>
      </c>
    </row>
    <row r="22" spans="1:6" x14ac:dyDescent="0.3">
      <c r="A22" s="4">
        <v>2022</v>
      </c>
      <c r="B22" s="4" t="s">
        <v>22</v>
      </c>
      <c r="C22" s="4" t="s">
        <v>28</v>
      </c>
      <c r="D22" s="5">
        <v>15088441</v>
      </c>
      <c r="E22" s="4" t="s">
        <v>24</v>
      </c>
      <c r="F22" s="6" t="s">
        <v>44</v>
      </c>
    </row>
    <row r="23" spans="1:6" x14ac:dyDescent="0.3">
      <c r="A23" s="4">
        <v>2022</v>
      </c>
      <c r="B23" s="4" t="s">
        <v>22</v>
      </c>
      <c r="C23" s="4" t="s">
        <v>29</v>
      </c>
      <c r="D23" s="5">
        <v>12386922</v>
      </c>
      <c r="E23" s="4" t="s">
        <v>24</v>
      </c>
      <c r="F23" s="6" t="s">
        <v>44</v>
      </c>
    </row>
    <row r="24" spans="1:6" x14ac:dyDescent="0.3">
      <c r="A24" s="4">
        <v>2022</v>
      </c>
      <c r="B24" s="4" t="s">
        <v>30</v>
      </c>
      <c r="C24" s="4" t="s">
        <v>31</v>
      </c>
      <c r="D24" s="5">
        <v>137219986</v>
      </c>
      <c r="E24" s="4" t="s">
        <v>24</v>
      </c>
      <c r="F24" s="6" t="s">
        <v>45</v>
      </c>
    </row>
    <row r="25" spans="1:6" x14ac:dyDescent="0.3">
      <c r="A25" s="4">
        <v>2022</v>
      </c>
      <c r="B25" s="4" t="s">
        <v>30</v>
      </c>
      <c r="C25" s="4" t="s">
        <v>33</v>
      </c>
      <c r="D25" s="5">
        <v>60933209</v>
      </c>
      <c r="E25" s="4" t="s">
        <v>24</v>
      </c>
      <c r="F25" s="6" t="s">
        <v>45</v>
      </c>
    </row>
    <row r="26" spans="1:6" x14ac:dyDescent="0.3">
      <c r="A26" s="4">
        <v>2022</v>
      </c>
      <c r="B26" s="4" t="s">
        <v>30</v>
      </c>
      <c r="C26" s="4" t="s">
        <v>34</v>
      </c>
      <c r="D26" s="5">
        <v>61194394</v>
      </c>
      <c r="E26" s="4" t="s">
        <v>24</v>
      </c>
      <c r="F26" s="6" t="s">
        <v>45</v>
      </c>
    </row>
    <row r="27" spans="1:6" x14ac:dyDescent="0.3">
      <c r="A27" s="4">
        <v>2022</v>
      </c>
      <c r="B27" s="4" t="s">
        <v>30</v>
      </c>
      <c r="C27" s="4" t="s">
        <v>35</v>
      </c>
      <c r="D27" s="5">
        <v>36400164</v>
      </c>
      <c r="E27" s="4" t="s">
        <v>24</v>
      </c>
      <c r="F27" s="6" t="s">
        <v>45</v>
      </c>
    </row>
    <row r="28" spans="1:6" x14ac:dyDescent="0.3">
      <c r="A28" s="4">
        <v>2022</v>
      </c>
      <c r="B28" s="4" t="s">
        <v>30</v>
      </c>
      <c r="C28" s="4" t="s">
        <v>36</v>
      </c>
      <c r="D28" s="5">
        <v>76025592</v>
      </c>
      <c r="E28" s="4" t="s">
        <v>24</v>
      </c>
      <c r="F28" s="6" t="s">
        <v>45</v>
      </c>
    </row>
    <row r="29" spans="1:6" x14ac:dyDescent="0.3">
      <c r="A29" s="4">
        <v>2022</v>
      </c>
      <c r="B29" s="4" t="s">
        <v>38</v>
      </c>
      <c r="C29" s="4" t="s">
        <v>39</v>
      </c>
      <c r="D29" s="5">
        <v>26354390</v>
      </c>
      <c r="E29" s="4" t="s">
        <v>24</v>
      </c>
      <c r="F29" s="6" t="s">
        <v>46</v>
      </c>
    </row>
    <row r="30" spans="1:6" x14ac:dyDescent="0.3">
      <c r="A30" s="4">
        <v>2022</v>
      </c>
      <c r="B30" s="4" t="s">
        <v>38</v>
      </c>
      <c r="C30" s="4" t="s">
        <v>41</v>
      </c>
      <c r="D30" s="5">
        <v>-8578939</v>
      </c>
      <c r="E30" s="4" t="s">
        <v>24</v>
      </c>
      <c r="F30" s="6" t="s">
        <v>46</v>
      </c>
    </row>
    <row r="31" spans="1:6" x14ac:dyDescent="0.3">
      <c r="A31" s="4">
        <v>2022</v>
      </c>
      <c r="B31" s="4" t="s">
        <v>38</v>
      </c>
      <c r="C31" s="4" t="s">
        <v>42</v>
      </c>
      <c r="D31" s="5">
        <v>-8255503</v>
      </c>
      <c r="E31" s="4" t="s">
        <v>24</v>
      </c>
      <c r="F31" s="6" t="s">
        <v>46</v>
      </c>
    </row>
    <row r="32" spans="1:6" x14ac:dyDescent="0.3">
      <c r="A32" s="4">
        <v>2022</v>
      </c>
      <c r="B32" s="4" t="s">
        <v>38</v>
      </c>
      <c r="C32" s="4" t="s">
        <v>43</v>
      </c>
      <c r="D32" s="5">
        <v>17794393</v>
      </c>
      <c r="E32" s="4" t="s">
        <v>24</v>
      </c>
      <c r="F32" s="6" t="s">
        <v>46</v>
      </c>
    </row>
    <row r="33" spans="1:6" x14ac:dyDescent="0.3">
      <c r="A33" s="4">
        <v>2023</v>
      </c>
      <c r="B33" s="4" t="s">
        <v>22</v>
      </c>
      <c r="C33" s="4" t="s">
        <v>23</v>
      </c>
      <c r="D33" s="5">
        <v>71777161</v>
      </c>
      <c r="E33" s="4" t="s">
        <v>24</v>
      </c>
      <c r="F33" s="6" t="s">
        <v>47</v>
      </c>
    </row>
    <row r="34" spans="1:6" x14ac:dyDescent="0.3">
      <c r="A34" s="4">
        <v>2023</v>
      </c>
      <c r="B34" s="4" t="s">
        <v>22</v>
      </c>
      <c r="C34" s="4" t="s">
        <v>26</v>
      </c>
      <c r="D34" s="5">
        <v>-37037095</v>
      </c>
      <c r="E34" s="4" t="s">
        <v>24</v>
      </c>
      <c r="F34" s="6" t="s">
        <v>47</v>
      </c>
    </row>
    <row r="35" spans="1:6" x14ac:dyDescent="0.3">
      <c r="A35" s="4">
        <v>2023</v>
      </c>
      <c r="B35" s="4" t="s">
        <v>22</v>
      </c>
      <c r="C35" s="4" t="s">
        <v>27</v>
      </c>
      <c r="D35" s="5">
        <v>34740066</v>
      </c>
      <c r="E35" s="4" t="s">
        <v>24</v>
      </c>
      <c r="F35" s="6" t="s">
        <v>47</v>
      </c>
    </row>
    <row r="36" spans="1:6" x14ac:dyDescent="0.3">
      <c r="A36" s="4">
        <v>2023</v>
      </c>
      <c r="B36" s="4" t="s">
        <v>22</v>
      </c>
      <c r="C36" s="4" t="s">
        <v>28</v>
      </c>
      <c r="D36" s="5">
        <v>13161291</v>
      </c>
      <c r="E36" s="4" t="s">
        <v>24</v>
      </c>
      <c r="F36" s="6" t="s">
        <v>47</v>
      </c>
    </row>
    <row r="37" spans="1:6" x14ac:dyDescent="0.3">
      <c r="A37" s="4">
        <v>2023</v>
      </c>
      <c r="B37" s="4" t="s">
        <v>22</v>
      </c>
      <c r="C37" s="4" t="s">
        <v>29</v>
      </c>
      <c r="D37" s="5">
        <v>13419479</v>
      </c>
      <c r="E37" s="4" t="s">
        <v>24</v>
      </c>
      <c r="F37" s="6" t="s">
        <v>47</v>
      </c>
    </row>
    <row r="38" spans="1:6" x14ac:dyDescent="0.3">
      <c r="A38" s="4">
        <v>2023</v>
      </c>
      <c r="B38" s="4" t="s">
        <v>30</v>
      </c>
      <c r="C38" s="4" t="s">
        <v>31</v>
      </c>
      <c r="D38" s="5">
        <v>159682770</v>
      </c>
      <c r="E38" s="4" t="s">
        <v>24</v>
      </c>
      <c r="F38" s="6" t="s">
        <v>48</v>
      </c>
    </row>
    <row r="39" spans="1:6" x14ac:dyDescent="0.3">
      <c r="A39" s="4">
        <v>2023</v>
      </c>
      <c r="B39" s="4" t="s">
        <v>30</v>
      </c>
      <c r="C39" s="4" t="s">
        <v>33</v>
      </c>
      <c r="D39" s="5">
        <v>71224125</v>
      </c>
      <c r="E39" s="4" t="s">
        <v>24</v>
      </c>
      <c r="F39" s="6" t="s">
        <v>48</v>
      </c>
    </row>
    <row r="40" spans="1:6" x14ac:dyDescent="0.3">
      <c r="A40" s="4">
        <v>2023</v>
      </c>
      <c r="B40" s="4" t="s">
        <v>30</v>
      </c>
      <c r="C40" s="4" t="s">
        <v>34</v>
      </c>
      <c r="D40" s="5">
        <v>78167604</v>
      </c>
      <c r="E40" s="4" t="s">
        <v>24</v>
      </c>
      <c r="F40" s="6" t="s">
        <v>48</v>
      </c>
    </row>
    <row r="41" spans="1:6" x14ac:dyDescent="0.3">
      <c r="A41" s="4">
        <v>2023</v>
      </c>
      <c r="B41" s="4" t="s">
        <v>30</v>
      </c>
      <c r="C41" s="4" t="s">
        <v>35</v>
      </c>
      <c r="D41" s="5">
        <v>48070790</v>
      </c>
      <c r="E41" s="4" t="s">
        <v>24</v>
      </c>
      <c r="F41" s="6" t="s">
        <v>48</v>
      </c>
    </row>
    <row r="42" spans="1:6" x14ac:dyDescent="0.3">
      <c r="A42" s="4">
        <v>2023</v>
      </c>
      <c r="B42" s="4" t="s">
        <v>30</v>
      </c>
      <c r="C42" s="4" t="s">
        <v>36</v>
      </c>
      <c r="D42" s="5">
        <v>81515166</v>
      </c>
      <c r="E42" s="4" t="s">
        <v>24</v>
      </c>
      <c r="F42" s="6" t="s">
        <v>48</v>
      </c>
    </row>
    <row r="43" spans="1:6" x14ac:dyDescent="0.3">
      <c r="A43" s="4">
        <v>2023</v>
      </c>
      <c r="B43" s="4" t="s">
        <v>38</v>
      </c>
      <c r="C43" s="4" t="s">
        <v>39</v>
      </c>
      <c r="D43" s="5">
        <v>22417558</v>
      </c>
      <c r="E43" s="4" t="s">
        <v>24</v>
      </c>
      <c r="F43" s="6" t="s">
        <v>49</v>
      </c>
    </row>
    <row r="44" spans="1:6" x14ac:dyDescent="0.3">
      <c r="A44" s="4">
        <v>2023</v>
      </c>
      <c r="B44" s="4" t="s">
        <v>38</v>
      </c>
      <c r="C44" s="4" t="s">
        <v>41</v>
      </c>
      <c r="D44" s="5">
        <v>-28383342</v>
      </c>
      <c r="E44" s="4" t="s">
        <v>24</v>
      </c>
      <c r="F44" s="6" t="s">
        <v>49</v>
      </c>
    </row>
    <row r="45" spans="1:6" x14ac:dyDescent="0.3">
      <c r="A45" s="4">
        <v>2023</v>
      </c>
      <c r="B45" s="4" t="s">
        <v>38</v>
      </c>
      <c r="C45" s="4" t="s">
        <v>42</v>
      </c>
      <c r="D45" s="5">
        <v>1590929</v>
      </c>
      <c r="E45" s="4" t="s">
        <v>24</v>
      </c>
      <c r="F45" s="6" t="s">
        <v>49</v>
      </c>
    </row>
    <row r="46" spans="1:6" x14ac:dyDescent="0.3">
      <c r="A46" s="4">
        <v>2023</v>
      </c>
      <c r="B46" s="4" t="s">
        <v>38</v>
      </c>
      <c r="C46" s="4" t="s">
        <v>43</v>
      </c>
      <c r="D46" s="5">
        <v>13414125</v>
      </c>
      <c r="E46" s="4" t="s">
        <v>24</v>
      </c>
      <c r="F46" s="6" t="s">
        <v>49</v>
      </c>
    </row>
    <row r="47" spans="1:6" x14ac:dyDescent="0.3">
      <c r="A47" s="4">
        <v>2024</v>
      </c>
      <c r="B47" s="4" t="s">
        <v>22</v>
      </c>
      <c r="C47" s="4" t="s">
        <v>23</v>
      </c>
      <c r="D47" s="5">
        <v>75893413</v>
      </c>
      <c r="E47" s="4" t="s">
        <v>24</v>
      </c>
      <c r="F47" s="6" t="s">
        <v>50</v>
      </c>
    </row>
    <row r="48" spans="1:6" x14ac:dyDescent="0.3">
      <c r="A48" s="4">
        <v>2024</v>
      </c>
      <c r="B48" s="4" t="s">
        <v>22</v>
      </c>
      <c r="C48" s="4" t="s">
        <v>26</v>
      </c>
      <c r="D48" s="5">
        <v>-38593003</v>
      </c>
      <c r="E48" s="4" t="s">
        <v>24</v>
      </c>
      <c r="F48" s="6" t="s">
        <v>50</v>
      </c>
    </row>
    <row r="49" spans="1:6" x14ac:dyDescent="0.3">
      <c r="A49" s="4">
        <v>2024</v>
      </c>
      <c r="B49" s="4" t="s">
        <v>22</v>
      </c>
      <c r="C49" s="4" t="s">
        <v>27</v>
      </c>
      <c r="D49" s="5">
        <v>37300410</v>
      </c>
      <c r="E49" s="4" t="s">
        <v>24</v>
      </c>
      <c r="F49" s="6" t="s">
        <v>50</v>
      </c>
    </row>
    <row r="50" spans="1:6" x14ac:dyDescent="0.3">
      <c r="A50" s="4">
        <v>2024</v>
      </c>
      <c r="B50" s="4" t="s">
        <v>22</v>
      </c>
      <c r="C50" s="4" t="s">
        <v>28</v>
      </c>
      <c r="D50" s="5">
        <v>14425638</v>
      </c>
      <c r="E50" s="4" t="s">
        <v>24</v>
      </c>
      <c r="F50" s="6" t="s">
        <v>50</v>
      </c>
    </row>
    <row r="51" spans="1:6" ht="28.8" x14ac:dyDescent="0.3">
      <c r="A51" s="4">
        <v>2024</v>
      </c>
      <c r="B51" s="4" t="s">
        <v>22</v>
      </c>
      <c r="C51" s="4" t="s">
        <v>29</v>
      </c>
      <c r="D51" s="5">
        <v>24916243</v>
      </c>
      <c r="E51" s="4" t="s">
        <v>24</v>
      </c>
      <c r="F51" s="6" t="s">
        <v>51</v>
      </c>
    </row>
    <row r="52" spans="1:6" x14ac:dyDescent="0.3">
      <c r="A52" s="4">
        <v>2024</v>
      </c>
      <c r="B52" s="4" t="s">
        <v>30</v>
      </c>
      <c r="C52" s="4" t="s">
        <v>31</v>
      </c>
      <c r="D52" s="5">
        <v>160638143</v>
      </c>
      <c r="E52" s="4" t="s">
        <v>24</v>
      </c>
      <c r="F52" s="6" t="s">
        <v>52</v>
      </c>
    </row>
    <row r="53" spans="1:6" x14ac:dyDescent="0.3">
      <c r="A53" s="4">
        <v>2024</v>
      </c>
      <c r="B53" s="4" t="s">
        <v>30</v>
      </c>
      <c r="C53" s="4" t="s">
        <v>33</v>
      </c>
      <c r="D53" s="5">
        <v>72745125</v>
      </c>
      <c r="E53" s="4" t="s">
        <v>24</v>
      </c>
      <c r="F53" s="6" t="s">
        <v>53</v>
      </c>
    </row>
    <row r="54" spans="1:6" x14ac:dyDescent="0.3">
      <c r="A54" s="4">
        <v>2024</v>
      </c>
      <c r="B54" s="4" t="s">
        <v>30</v>
      </c>
      <c r="C54" s="4" t="s">
        <v>34</v>
      </c>
      <c r="D54" s="5">
        <v>68153096</v>
      </c>
      <c r="E54" s="4" t="s">
        <v>24</v>
      </c>
      <c r="F54" s="6" t="s">
        <v>52</v>
      </c>
    </row>
    <row r="55" spans="1:6" x14ac:dyDescent="0.3">
      <c r="A55" s="4">
        <v>2024</v>
      </c>
      <c r="B55" s="4" t="s">
        <v>30</v>
      </c>
      <c r="C55" s="4" t="s">
        <v>35</v>
      </c>
      <c r="D55" s="5">
        <v>38956261</v>
      </c>
      <c r="E55" s="4" t="s">
        <v>24</v>
      </c>
      <c r="F55" s="6" t="s">
        <v>52</v>
      </c>
    </row>
    <row r="56" spans="1:6" x14ac:dyDescent="0.3">
      <c r="A56" s="4">
        <v>2024</v>
      </c>
      <c r="B56" s="4" t="s">
        <v>30</v>
      </c>
      <c r="C56" s="4" t="s">
        <v>36</v>
      </c>
      <c r="D56" s="5">
        <v>92485047</v>
      </c>
      <c r="E56" s="4" t="s">
        <v>24</v>
      </c>
      <c r="F56" s="6" t="s">
        <v>52</v>
      </c>
    </row>
    <row r="57" spans="1:6" x14ac:dyDescent="0.3">
      <c r="A57" s="4">
        <v>2024</v>
      </c>
      <c r="B57" s="4" t="s">
        <v>38</v>
      </c>
      <c r="C57" s="4" t="s">
        <v>39</v>
      </c>
      <c r="D57" s="5">
        <v>19885337</v>
      </c>
      <c r="E57" s="4" t="s">
        <v>24</v>
      </c>
      <c r="F57" s="6" t="s">
        <v>54</v>
      </c>
    </row>
    <row r="58" spans="1:6" x14ac:dyDescent="0.3">
      <c r="A58" s="4">
        <v>2024</v>
      </c>
      <c r="B58" s="4" t="s">
        <v>38</v>
      </c>
      <c r="C58" s="4" t="s">
        <v>41</v>
      </c>
      <c r="D58" s="5">
        <v>-7178981</v>
      </c>
      <c r="E58" s="4" t="s">
        <v>24</v>
      </c>
      <c r="F58" s="6" t="s">
        <v>54</v>
      </c>
    </row>
    <row r="59" spans="1:6" x14ac:dyDescent="0.3">
      <c r="A59" s="4">
        <v>2024</v>
      </c>
      <c r="B59" s="4" t="s">
        <v>38</v>
      </c>
      <c r="C59" s="4" t="s">
        <v>42</v>
      </c>
      <c r="D59" s="5">
        <v>-10495146</v>
      </c>
      <c r="E59" s="4" t="s">
        <v>24</v>
      </c>
      <c r="F59" s="6" t="s">
        <v>54</v>
      </c>
    </row>
    <row r="60" spans="1:6" x14ac:dyDescent="0.3">
      <c r="A60" s="4">
        <v>2024</v>
      </c>
      <c r="B60" s="4" t="s">
        <v>38</v>
      </c>
      <c r="C60" s="4" t="s">
        <v>43</v>
      </c>
      <c r="D60" s="5">
        <v>15543441</v>
      </c>
      <c r="E60" s="4" t="s">
        <v>24</v>
      </c>
      <c r="F60" s="6" t="s">
        <v>54</v>
      </c>
    </row>
    <row r="61" spans="1:6" x14ac:dyDescent="0.3">
      <c r="A61" s="4">
        <v>2025</v>
      </c>
      <c r="B61" s="4" t="s">
        <v>22</v>
      </c>
      <c r="C61" s="4" t="s">
        <v>23</v>
      </c>
      <c r="D61" s="5">
        <v>77818675</v>
      </c>
      <c r="E61" s="4" t="s">
        <v>24</v>
      </c>
      <c r="F61" s="6" t="s">
        <v>55</v>
      </c>
    </row>
    <row r="62" spans="1:6" x14ac:dyDescent="0.3">
      <c r="A62" s="4">
        <v>2025</v>
      </c>
      <c r="B62" s="4" t="s">
        <v>22</v>
      </c>
      <c r="C62" s="4" t="s">
        <v>26</v>
      </c>
      <c r="D62" s="5">
        <v>-40118986</v>
      </c>
      <c r="E62" s="4" t="s">
        <v>24</v>
      </c>
      <c r="F62" s="6" t="s">
        <v>55</v>
      </c>
    </row>
    <row r="63" spans="1:6" x14ac:dyDescent="0.3">
      <c r="A63" s="4">
        <v>2025</v>
      </c>
      <c r="B63" s="4" t="s">
        <v>22</v>
      </c>
      <c r="C63" s="4" t="s">
        <v>27</v>
      </c>
      <c r="D63" s="5">
        <v>37699689</v>
      </c>
      <c r="E63" s="4" t="s">
        <v>24</v>
      </c>
      <c r="F63" s="6" t="s">
        <v>55</v>
      </c>
    </row>
    <row r="64" spans="1:6" x14ac:dyDescent="0.3">
      <c r="A64" s="4">
        <v>2025</v>
      </c>
      <c r="B64" s="4" t="s">
        <v>22</v>
      </c>
      <c r="C64" s="4" t="s">
        <v>28</v>
      </c>
      <c r="D64" s="5">
        <v>14438264</v>
      </c>
      <c r="E64" s="4" t="s">
        <v>24</v>
      </c>
      <c r="F64" s="6" t="s">
        <v>55</v>
      </c>
    </row>
    <row r="65" spans="1:6" ht="28.8" x14ac:dyDescent="0.3">
      <c r="A65" s="4">
        <v>2025</v>
      </c>
      <c r="B65" s="4" t="s">
        <v>22</v>
      </c>
      <c r="C65" s="4" t="s">
        <v>29</v>
      </c>
      <c r="D65" s="5">
        <v>15134945</v>
      </c>
      <c r="E65" s="4" t="s">
        <v>24</v>
      </c>
      <c r="F65" s="6" t="s">
        <v>56</v>
      </c>
    </row>
    <row r="66" spans="1:6" x14ac:dyDescent="0.3">
      <c r="A66" s="4">
        <v>2025</v>
      </c>
      <c r="B66" s="4" t="s">
        <v>30</v>
      </c>
      <c r="C66" s="4" t="s">
        <v>31</v>
      </c>
      <c r="D66" s="5">
        <v>157476669</v>
      </c>
      <c r="E66" s="4" t="s">
        <v>24</v>
      </c>
      <c r="F66" s="6" t="s">
        <v>57</v>
      </c>
    </row>
    <row r="67" spans="1:6" x14ac:dyDescent="0.3">
      <c r="A67" s="4">
        <v>2025</v>
      </c>
      <c r="B67" s="4" t="s">
        <v>30</v>
      </c>
      <c r="C67" s="4" t="s">
        <v>33</v>
      </c>
      <c r="D67" s="5">
        <v>58015755</v>
      </c>
      <c r="E67" s="4" t="s">
        <v>24</v>
      </c>
      <c r="F67" s="6" t="s">
        <v>57</v>
      </c>
    </row>
    <row r="68" spans="1:6" x14ac:dyDescent="0.3">
      <c r="A68" s="4">
        <v>2025</v>
      </c>
      <c r="B68" s="4" t="s">
        <v>30</v>
      </c>
      <c r="C68" s="4" t="s">
        <v>34</v>
      </c>
      <c r="D68" s="5">
        <v>71090329</v>
      </c>
      <c r="E68" s="4" t="s">
        <v>24</v>
      </c>
      <c r="F68" s="6" t="s">
        <v>57</v>
      </c>
    </row>
    <row r="69" spans="1:6" x14ac:dyDescent="0.3">
      <c r="A69" s="4">
        <v>2025</v>
      </c>
      <c r="B69" s="4" t="s">
        <v>30</v>
      </c>
      <c r="C69" s="4" t="s">
        <v>35</v>
      </c>
      <c r="D69" s="5">
        <v>40172575</v>
      </c>
      <c r="E69" s="4" t="s">
        <v>24</v>
      </c>
      <c r="F69" s="6" t="s">
        <v>57</v>
      </c>
    </row>
    <row r="70" spans="1:6" x14ac:dyDescent="0.3">
      <c r="A70" s="4">
        <v>2025</v>
      </c>
      <c r="B70" s="4" t="s">
        <v>30</v>
      </c>
      <c r="C70" s="4" t="s">
        <v>36</v>
      </c>
      <c r="D70" s="5">
        <v>86386340</v>
      </c>
      <c r="E70" s="4" t="s">
        <v>24</v>
      </c>
      <c r="F70" s="6" t="s">
        <v>57</v>
      </c>
    </row>
    <row r="71" spans="1:6" x14ac:dyDescent="0.3">
      <c r="A71" s="4">
        <v>2025</v>
      </c>
      <c r="B71" s="4" t="s">
        <v>38</v>
      </c>
      <c r="C71" s="4" t="s">
        <v>39</v>
      </c>
      <c r="D71" s="5">
        <v>18283163</v>
      </c>
      <c r="E71" s="4" t="s">
        <v>24</v>
      </c>
      <c r="F71" s="6" t="s">
        <v>58</v>
      </c>
    </row>
    <row r="72" spans="1:6" x14ac:dyDescent="0.3">
      <c r="A72" s="4">
        <v>2025</v>
      </c>
      <c r="B72" s="4" t="s">
        <v>38</v>
      </c>
      <c r="C72" s="4" t="s">
        <v>41</v>
      </c>
      <c r="D72" s="5">
        <v>2546411</v>
      </c>
      <c r="E72" s="4" t="s">
        <v>24</v>
      </c>
      <c r="F72" s="6" t="s">
        <v>58</v>
      </c>
    </row>
    <row r="73" spans="1:6" x14ac:dyDescent="0.3">
      <c r="A73" s="4">
        <v>2025</v>
      </c>
      <c r="B73" s="4" t="s">
        <v>38</v>
      </c>
      <c r="C73" s="4" t="s">
        <v>42</v>
      </c>
      <c r="D73" s="5">
        <v>-23000575</v>
      </c>
      <c r="E73" s="4" t="s">
        <v>24</v>
      </c>
      <c r="F73" s="6" t="s">
        <v>58</v>
      </c>
    </row>
    <row r="74" spans="1:6" x14ac:dyDescent="0.3">
      <c r="A74" s="4">
        <v>2025</v>
      </c>
      <c r="B74" s="4" t="s">
        <v>38</v>
      </c>
      <c r="C74" s="4" t="s">
        <v>43</v>
      </c>
      <c r="D74" s="5">
        <v>13376071</v>
      </c>
      <c r="E74" s="4" t="s">
        <v>24</v>
      </c>
      <c r="F74" s="6" t="s">
        <v>58</v>
      </c>
    </row>
  </sheetData>
  <autoFilter ref="A4:F74" xr:uid="{00000000-0009-0000-0000-000001000000}"/>
  <mergeCells count="2">
    <mergeCell ref="A2:H2"/>
    <mergeCell ref="A1:H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4"/>
  <sheetViews>
    <sheetView showGridLines="0" workbookViewId="0">
      <pane ySplit="4" topLeftCell="A9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18" customWidth="1"/>
    <col min="3" max="3" width="28" customWidth="1"/>
    <col min="4" max="5" width="18" customWidth="1"/>
    <col min="6" max="6" width="65" customWidth="1"/>
  </cols>
  <sheetData>
    <row r="1" spans="1:8" ht="23.4" x14ac:dyDescent="0.45">
      <c r="A1" s="16" t="s">
        <v>59</v>
      </c>
      <c r="B1" s="15"/>
      <c r="C1" s="15"/>
      <c r="D1" s="15"/>
      <c r="E1" s="15"/>
      <c r="F1" s="15"/>
      <c r="G1" s="15"/>
      <c r="H1" s="15"/>
    </row>
    <row r="2" spans="1:8" x14ac:dyDescent="0.3">
      <c r="A2" s="14" t="s">
        <v>60</v>
      </c>
      <c r="B2" s="15"/>
      <c r="C2" s="15"/>
      <c r="D2" s="15"/>
      <c r="E2" s="15"/>
      <c r="F2" s="15"/>
      <c r="G2" s="15"/>
      <c r="H2" s="15"/>
    </row>
    <row r="4" spans="1:8" ht="28.8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8" x14ac:dyDescent="0.3">
      <c r="A5" s="4">
        <v>2021</v>
      </c>
      <c r="B5" s="4" t="s">
        <v>22</v>
      </c>
      <c r="C5" s="4" t="s">
        <v>23</v>
      </c>
      <c r="D5" s="5">
        <v>63007986</v>
      </c>
      <c r="E5" s="4" t="s">
        <v>24</v>
      </c>
      <c r="F5" s="6" t="s">
        <v>25</v>
      </c>
    </row>
    <row r="6" spans="1:8" x14ac:dyDescent="0.3">
      <c r="A6" s="4">
        <v>2021</v>
      </c>
      <c r="B6" s="4" t="s">
        <v>22</v>
      </c>
      <c r="C6" s="4" t="s">
        <v>26</v>
      </c>
      <c r="D6" s="5">
        <v>-29213957</v>
      </c>
      <c r="E6" s="4" t="s">
        <v>24</v>
      </c>
      <c r="F6" s="6" t="s">
        <v>25</v>
      </c>
    </row>
    <row r="7" spans="1:8" x14ac:dyDescent="0.3">
      <c r="A7" s="4">
        <v>2021</v>
      </c>
      <c r="B7" s="4" t="s">
        <v>22</v>
      </c>
      <c r="C7" s="4" t="s">
        <v>27</v>
      </c>
      <c r="D7" s="5">
        <v>33794029</v>
      </c>
      <c r="E7" s="4" t="s">
        <v>24</v>
      </c>
      <c r="F7" s="6" t="s">
        <v>25</v>
      </c>
    </row>
    <row r="8" spans="1:8" x14ac:dyDescent="0.3">
      <c r="A8" s="4">
        <v>2021</v>
      </c>
      <c r="B8" s="4" t="s">
        <v>22</v>
      </c>
      <c r="C8" s="4" t="s">
        <v>28</v>
      </c>
      <c r="D8" s="5">
        <v>13127755</v>
      </c>
      <c r="E8" s="4" t="s">
        <v>24</v>
      </c>
      <c r="F8" s="6" t="s">
        <v>25</v>
      </c>
    </row>
    <row r="9" spans="1:8" x14ac:dyDescent="0.3">
      <c r="A9" s="4">
        <v>2021</v>
      </c>
      <c r="B9" s="4" t="s">
        <v>22</v>
      </c>
      <c r="C9" s="4" t="s">
        <v>29</v>
      </c>
      <c r="D9" s="5">
        <v>11594697</v>
      </c>
      <c r="E9" s="4" t="s">
        <v>24</v>
      </c>
      <c r="F9" s="6" t="s">
        <v>25</v>
      </c>
    </row>
    <row r="10" spans="1:8" x14ac:dyDescent="0.3">
      <c r="A10" s="4">
        <v>2021</v>
      </c>
      <c r="B10" s="4" t="s">
        <v>30</v>
      </c>
      <c r="C10" s="4" t="s">
        <v>31</v>
      </c>
      <c r="D10" s="5">
        <v>121972100</v>
      </c>
      <c r="E10" s="4" t="s">
        <v>24</v>
      </c>
      <c r="F10" s="6" t="s">
        <v>32</v>
      </c>
    </row>
    <row r="11" spans="1:8" x14ac:dyDescent="0.3">
      <c r="A11" s="4">
        <v>2021</v>
      </c>
      <c r="B11" s="4" t="s">
        <v>30</v>
      </c>
      <c r="C11" s="4" t="s">
        <v>33</v>
      </c>
      <c r="D11" s="5">
        <v>51468074</v>
      </c>
      <c r="E11" s="4" t="s">
        <v>24</v>
      </c>
      <c r="F11" s="6" t="s">
        <v>32</v>
      </c>
    </row>
    <row r="12" spans="1:8" x14ac:dyDescent="0.3">
      <c r="A12" s="4">
        <v>2021</v>
      </c>
      <c r="B12" s="4" t="s">
        <v>30</v>
      </c>
      <c r="C12" s="4" t="s">
        <v>34</v>
      </c>
      <c r="D12" s="5">
        <v>56705085</v>
      </c>
      <c r="E12" s="4" t="s">
        <v>24</v>
      </c>
      <c r="F12" s="6" t="s">
        <v>32</v>
      </c>
    </row>
    <row r="13" spans="1:8" x14ac:dyDescent="0.3">
      <c r="A13" s="4">
        <v>2021</v>
      </c>
      <c r="B13" s="4" t="s">
        <v>30</v>
      </c>
      <c r="C13" s="4" t="s">
        <v>35</v>
      </c>
      <c r="D13" s="5">
        <v>33560552</v>
      </c>
      <c r="E13" s="4" t="s">
        <v>24</v>
      </c>
      <c r="F13" s="6" t="s">
        <v>32</v>
      </c>
    </row>
    <row r="14" spans="1:8" ht="28.8" x14ac:dyDescent="0.3">
      <c r="A14" s="4">
        <v>2021</v>
      </c>
      <c r="B14" s="4" t="s">
        <v>30</v>
      </c>
      <c r="C14" s="4" t="s">
        <v>36</v>
      </c>
      <c r="D14" s="5">
        <v>71385979</v>
      </c>
      <c r="E14" s="4" t="s">
        <v>24</v>
      </c>
      <c r="F14" s="6" t="s">
        <v>37</v>
      </c>
    </row>
    <row r="15" spans="1:8" x14ac:dyDescent="0.3">
      <c r="A15" s="4">
        <v>2021</v>
      </c>
      <c r="B15" s="4" t="s">
        <v>38</v>
      </c>
      <c r="C15" s="4" t="s">
        <v>39</v>
      </c>
      <c r="D15" s="5">
        <v>11220155</v>
      </c>
      <c r="E15" s="4" t="s">
        <v>24</v>
      </c>
      <c r="F15" s="6" t="s">
        <v>40</v>
      </c>
    </row>
    <row r="16" spans="1:8" x14ac:dyDescent="0.3">
      <c r="A16" s="4">
        <v>2021</v>
      </c>
      <c r="B16" s="4" t="s">
        <v>38</v>
      </c>
      <c r="C16" s="4" t="s">
        <v>41</v>
      </c>
      <c r="D16" s="5">
        <v>-1714583</v>
      </c>
      <c r="E16" s="4" t="s">
        <v>24</v>
      </c>
      <c r="F16" s="6" t="s">
        <v>40</v>
      </c>
    </row>
    <row r="17" spans="1:6" x14ac:dyDescent="0.3">
      <c r="A17" s="4">
        <v>2021</v>
      </c>
      <c r="B17" s="4" t="s">
        <v>38</v>
      </c>
      <c r="C17" s="4" t="s">
        <v>42</v>
      </c>
      <c r="D17" s="5">
        <v>-10235177</v>
      </c>
      <c r="E17" s="4" t="s">
        <v>24</v>
      </c>
      <c r="F17" s="6" t="s">
        <v>40</v>
      </c>
    </row>
    <row r="18" spans="1:6" x14ac:dyDescent="0.3">
      <c r="A18" s="4">
        <v>2021</v>
      </c>
      <c r="B18" s="4" t="s">
        <v>38</v>
      </c>
      <c r="C18" s="4" t="s">
        <v>43</v>
      </c>
      <c r="D18" s="5">
        <v>8281301</v>
      </c>
      <c r="E18" s="4" t="s">
        <v>24</v>
      </c>
      <c r="F18" s="6" t="s">
        <v>40</v>
      </c>
    </row>
    <row r="19" spans="1:6" x14ac:dyDescent="0.3">
      <c r="A19" s="4">
        <v>2022</v>
      </c>
      <c r="B19" s="4" t="s">
        <v>22</v>
      </c>
      <c r="C19" s="4" t="s">
        <v>23</v>
      </c>
      <c r="D19" s="5">
        <v>67431546</v>
      </c>
      <c r="E19" s="4" t="s">
        <v>24</v>
      </c>
      <c r="F19" s="6" t="s">
        <v>44</v>
      </c>
    </row>
    <row r="20" spans="1:6" x14ac:dyDescent="0.3">
      <c r="A20" s="4">
        <v>2022</v>
      </c>
      <c r="B20" s="4" t="s">
        <v>22</v>
      </c>
      <c r="C20" s="4" t="s">
        <v>26</v>
      </c>
      <c r="D20" s="5">
        <v>-30038291</v>
      </c>
      <c r="E20" s="4" t="s">
        <v>24</v>
      </c>
      <c r="F20" s="6" t="s">
        <v>44</v>
      </c>
    </row>
    <row r="21" spans="1:6" x14ac:dyDescent="0.3">
      <c r="A21" s="4">
        <v>2022</v>
      </c>
      <c r="B21" s="4" t="s">
        <v>22</v>
      </c>
      <c r="C21" s="4" t="s">
        <v>27</v>
      </c>
      <c r="D21" s="5">
        <v>37393255</v>
      </c>
      <c r="E21" s="4" t="s">
        <v>24</v>
      </c>
      <c r="F21" s="6" t="s">
        <v>44</v>
      </c>
    </row>
    <row r="22" spans="1:6" x14ac:dyDescent="0.3">
      <c r="A22" s="4">
        <v>2022</v>
      </c>
      <c r="B22" s="4" t="s">
        <v>22</v>
      </c>
      <c r="C22" s="4" t="s">
        <v>28</v>
      </c>
      <c r="D22" s="5">
        <v>15088441</v>
      </c>
      <c r="E22" s="4" t="s">
        <v>24</v>
      </c>
      <c r="F22" s="6" t="s">
        <v>44</v>
      </c>
    </row>
    <row r="23" spans="1:6" x14ac:dyDescent="0.3">
      <c r="A23" s="4">
        <v>2022</v>
      </c>
      <c r="B23" s="4" t="s">
        <v>22</v>
      </c>
      <c r="C23" s="4" t="s">
        <v>29</v>
      </c>
      <c r="D23" s="5">
        <v>12386922</v>
      </c>
      <c r="E23" s="4" t="s">
        <v>24</v>
      </c>
      <c r="F23" s="6" t="s">
        <v>44</v>
      </c>
    </row>
    <row r="24" spans="1:6" x14ac:dyDescent="0.3">
      <c r="A24" s="4">
        <v>2022</v>
      </c>
      <c r="B24" s="4" t="s">
        <v>30</v>
      </c>
      <c r="C24" s="4" t="s">
        <v>31</v>
      </c>
      <c r="D24" s="5">
        <v>137219986</v>
      </c>
      <c r="E24" s="4" t="s">
        <v>24</v>
      </c>
      <c r="F24" s="6" t="s">
        <v>45</v>
      </c>
    </row>
    <row r="25" spans="1:6" x14ac:dyDescent="0.3">
      <c r="A25" s="4">
        <v>2022</v>
      </c>
      <c r="B25" s="4" t="s">
        <v>30</v>
      </c>
      <c r="C25" s="4" t="s">
        <v>33</v>
      </c>
      <c r="D25" s="5">
        <v>60933209</v>
      </c>
      <c r="E25" s="4" t="s">
        <v>24</v>
      </c>
      <c r="F25" s="6" t="s">
        <v>45</v>
      </c>
    </row>
    <row r="26" spans="1:6" x14ac:dyDescent="0.3">
      <c r="A26" s="4">
        <v>2022</v>
      </c>
      <c r="B26" s="4" t="s">
        <v>30</v>
      </c>
      <c r="C26" s="4" t="s">
        <v>34</v>
      </c>
      <c r="D26" s="5">
        <v>61194394</v>
      </c>
      <c r="E26" s="4" t="s">
        <v>24</v>
      </c>
      <c r="F26" s="6" t="s">
        <v>45</v>
      </c>
    </row>
    <row r="27" spans="1:6" x14ac:dyDescent="0.3">
      <c r="A27" s="4">
        <v>2022</v>
      </c>
      <c r="B27" s="4" t="s">
        <v>30</v>
      </c>
      <c r="C27" s="4" t="s">
        <v>35</v>
      </c>
      <c r="D27" s="5">
        <v>36400164</v>
      </c>
      <c r="E27" s="4" t="s">
        <v>24</v>
      </c>
      <c r="F27" s="6" t="s">
        <v>45</v>
      </c>
    </row>
    <row r="28" spans="1:6" x14ac:dyDescent="0.3">
      <c r="A28" s="4">
        <v>2022</v>
      </c>
      <c r="B28" s="4" t="s">
        <v>30</v>
      </c>
      <c r="C28" s="4" t="s">
        <v>36</v>
      </c>
      <c r="D28" s="5">
        <v>76025592</v>
      </c>
      <c r="E28" s="4" t="s">
        <v>24</v>
      </c>
      <c r="F28" s="6" t="s">
        <v>45</v>
      </c>
    </row>
    <row r="29" spans="1:6" x14ac:dyDescent="0.3">
      <c r="A29" s="4">
        <v>2022</v>
      </c>
      <c r="B29" s="4" t="s">
        <v>38</v>
      </c>
      <c r="C29" s="4" t="s">
        <v>39</v>
      </c>
      <c r="D29" s="5">
        <v>26354390</v>
      </c>
      <c r="E29" s="4" t="s">
        <v>24</v>
      </c>
      <c r="F29" s="6" t="s">
        <v>46</v>
      </c>
    </row>
    <row r="30" spans="1:6" x14ac:dyDescent="0.3">
      <c r="A30" s="4">
        <v>2022</v>
      </c>
      <c r="B30" s="4" t="s">
        <v>38</v>
      </c>
      <c r="C30" s="4" t="s">
        <v>41</v>
      </c>
      <c r="D30" s="5">
        <v>-8578939</v>
      </c>
      <c r="E30" s="4" t="s">
        <v>24</v>
      </c>
      <c r="F30" s="6" t="s">
        <v>46</v>
      </c>
    </row>
    <row r="31" spans="1:6" x14ac:dyDescent="0.3">
      <c r="A31" s="4">
        <v>2022</v>
      </c>
      <c r="B31" s="4" t="s">
        <v>38</v>
      </c>
      <c r="C31" s="4" t="s">
        <v>42</v>
      </c>
      <c r="D31" s="5">
        <v>-8255503</v>
      </c>
      <c r="E31" s="4" t="s">
        <v>24</v>
      </c>
      <c r="F31" s="6" t="s">
        <v>46</v>
      </c>
    </row>
    <row r="32" spans="1:6" x14ac:dyDescent="0.3">
      <c r="A32" s="4">
        <v>2022</v>
      </c>
      <c r="B32" s="4" t="s">
        <v>38</v>
      </c>
      <c r="C32" s="4" t="s">
        <v>43</v>
      </c>
      <c r="D32" s="5">
        <v>17794393</v>
      </c>
      <c r="E32" s="4" t="s">
        <v>24</v>
      </c>
      <c r="F32" s="6" t="s">
        <v>46</v>
      </c>
    </row>
    <row r="33" spans="1:6" x14ac:dyDescent="0.3">
      <c r="A33" s="4">
        <v>2023</v>
      </c>
      <c r="B33" s="4" t="s">
        <v>22</v>
      </c>
      <c r="C33" s="4" t="s">
        <v>23</v>
      </c>
      <c r="D33" s="5">
        <v>71777161</v>
      </c>
      <c r="E33" s="4" t="s">
        <v>24</v>
      </c>
      <c r="F33" s="6" t="s">
        <v>47</v>
      </c>
    </row>
    <row r="34" spans="1:6" x14ac:dyDescent="0.3">
      <c r="A34" s="4">
        <v>2023</v>
      </c>
      <c r="B34" s="4" t="s">
        <v>22</v>
      </c>
      <c r="C34" s="4" t="s">
        <v>26</v>
      </c>
      <c r="D34" s="5">
        <v>-37037095</v>
      </c>
      <c r="E34" s="4" t="s">
        <v>24</v>
      </c>
      <c r="F34" s="6" t="s">
        <v>47</v>
      </c>
    </row>
    <row r="35" spans="1:6" x14ac:dyDescent="0.3">
      <c r="A35" s="4">
        <v>2023</v>
      </c>
      <c r="B35" s="4" t="s">
        <v>22</v>
      </c>
      <c r="C35" s="4" t="s">
        <v>27</v>
      </c>
      <c r="D35" s="5">
        <v>34740066</v>
      </c>
      <c r="E35" s="4" t="s">
        <v>24</v>
      </c>
      <c r="F35" s="6" t="s">
        <v>47</v>
      </c>
    </row>
    <row r="36" spans="1:6" x14ac:dyDescent="0.3">
      <c r="A36" s="4">
        <v>2023</v>
      </c>
      <c r="B36" s="4" t="s">
        <v>22</v>
      </c>
      <c r="C36" s="4" t="s">
        <v>28</v>
      </c>
      <c r="D36" s="5">
        <v>13161291</v>
      </c>
      <c r="E36" s="4" t="s">
        <v>24</v>
      </c>
      <c r="F36" s="6" t="s">
        <v>47</v>
      </c>
    </row>
    <row r="37" spans="1:6" x14ac:dyDescent="0.3">
      <c r="A37" s="4">
        <v>2023</v>
      </c>
      <c r="B37" s="4" t="s">
        <v>22</v>
      </c>
      <c r="C37" s="4" t="s">
        <v>29</v>
      </c>
      <c r="D37" s="5">
        <v>13419479</v>
      </c>
      <c r="E37" s="4" t="s">
        <v>24</v>
      </c>
      <c r="F37" s="6" t="s">
        <v>47</v>
      </c>
    </row>
    <row r="38" spans="1:6" x14ac:dyDescent="0.3">
      <c r="A38" s="4">
        <v>2023</v>
      </c>
      <c r="B38" s="4" t="s">
        <v>30</v>
      </c>
      <c r="C38" s="4" t="s">
        <v>31</v>
      </c>
      <c r="D38" s="5">
        <v>159682770</v>
      </c>
      <c r="E38" s="4" t="s">
        <v>24</v>
      </c>
      <c r="F38" s="6" t="s">
        <v>48</v>
      </c>
    </row>
    <row r="39" spans="1:6" x14ac:dyDescent="0.3">
      <c r="A39" s="4">
        <v>2023</v>
      </c>
      <c r="B39" s="4" t="s">
        <v>30</v>
      </c>
      <c r="C39" s="4" t="s">
        <v>33</v>
      </c>
      <c r="D39" s="5">
        <v>71224125</v>
      </c>
      <c r="E39" s="4" t="s">
        <v>24</v>
      </c>
      <c r="F39" s="6" t="s">
        <v>48</v>
      </c>
    </row>
    <row r="40" spans="1:6" x14ac:dyDescent="0.3">
      <c r="A40" s="4">
        <v>2023</v>
      </c>
      <c r="B40" s="4" t="s">
        <v>30</v>
      </c>
      <c r="C40" s="4" t="s">
        <v>34</v>
      </c>
      <c r="D40" s="5">
        <v>78167604</v>
      </c>
      <c r="E40" s="4" t="s">
        <v>24</v>
      </c>
      <c r="F40" s="6" t="s">
        <v>48</v>
      </c>
    </row>
    <row r="41" spans="1:6" x14ac:dyDescent="0.3">
      <c r="A41" s="4">
        <v>2023</v>
      </c>
      <c r="B41" s="4" t="s">
        <v>30</v>
      </c>
      <c r="C41" s="4" t="s">
        <v>35</v>
      </c>
      <c r="D41" s="5">
        <v>48070790</v>
      </c>
      <c r="E41" s="4" t="s">
        <v>24</v>
      </c>
      <c r="F41" s="6" t="s">
        <v>48</v>
      </c>
    </row>
    <row r="42" spans="1:6" x14ac:dyDescent="0.3">
      <c r="A42" s="4">
        <v>2023</v>
      </c>
      <c r="B42" s="4" t="s">
        <v>30</v>
      </c>
      <c r="C42" s="4" t="s">
        <v>36</v>
      </c>
      <c r="D42" s="5">
        <v>81515166</v>
      </c>
      <c r="E42" s="4" t="s">
        <v>24</v>
      </c>
      <c r="F42" s="6" t="s">
        <v>48</v>
      </c>
    </row>
    <row r="43" spans="1:6" x14ac:dyDescent="0.3">
      <c r="A43" s="4">
        <v>2023</v>
      </c>
      <c r="B43" s="4" t="s">
        <v>38</v>
      </c>
      <c r="C43" s="4" t="s">
        <v>39</v>
      </c>
      <c r="D43" s="5">
        <v>22417558</v>
      </c>
      <c r="E43" s="4" t="s">
        <v>24</v>
      </c>
      <c r="F43" s="6" t="s">
        <v>49</v>
      </c>
    </row>
    <row r="44" spans="1:6" x14ac:dyDescent="0.3">
      <c r="A44" s="4">
        <v>2023</v>
      </c>
      <c r="B44" s="4" t="s">
        <v>38</v>
      </c>
      <c r="C44" s="4" t="s">
        <v>41</v>
      </c>
      <c r="D44" s="5">
        <v>-28383342</v>
      </c>
      <c r="E44" s="4" t="s">
        <v>24</v>
      </c>
      <c r="F44" s="6" t="s">
        <v>49</v>
      </c>
    </row>
    <row r="45" spans="1:6" x14ac:dyDescent="0.3">
      <c r="A45" s="4">
        <v>2023</v>
      </c>
      <c r="B45" s="4" t="s">
        <v>38</v>
      </c>
      <c r="C45" s="4" t="s">
        <v>42</v>
      </c>
      <c r="D45" s="5">
        <v>1590929</v>
      </c>
      <c r="E45" s="4" t="s">
        <v>24</v>
      </c>
      <c r="F45" s="6" t="s">
        <v>49</v>
      </c>
    </row>
    <row r="46" spans="1:6" x14ac:dyDescent="0.3">
      <c r="A46" s="4">
        <v>2023</v>
      </c>
      <c r="B46" s="4" t="s">
        <v>38</v>
      </c>
      <c r="C46" s="4" t="s">
        <v>43</v>
      </c>
      <c r="D46" s="5">
        <v>13414125</v>
      </c>
      <c r="E46" s="4" t="s">
        <v>24</v>
      </c>
      <c r="F46" s="6" t="s">
        <v>49</v>
      </c>
    </row>
    <row r="47" spans="1:6" x14ac:dyDescent="0.3">
      <c r="A47" s="4">
        <v>2024</v>
      </c>
      <c r="B47" s="4" t="s">
        <v>22</v>
      </c>
      <c r="C47" s="4" t="s">
        <v>23</v>
      </c>
      <c r="D47" s="5">
        <v>75893413</v>
      </c>
      <c r="E47" s="4" t="s">
        <v>24</v>
      </c>
      <c r="F47" s="6" t="s">
        <v>50</v>
      </c>
    </row>
    <row r="48" spans="1:6" x14ac:dyDescent="0.3">
      <c r="A48" s="4">
        <v>2024</v>
      </c>
      <c r="B48" s="4" t="s">
        <v>22</v>
      </c>
      <c r="C48" s="4" t="s">
        <v>26</v>
      </c>
      <c r="D48" s="5">
        <v>-38593003</v>
      </c>
      <c r="E48" s="4" t="s">
        <v>24</v>
      </c>
      <c r="F48" s="6" t="s">
        <v>50</v>
      </c>
    </row>
    <row r="49" spans="1:6" x14ac:dyDescent="0.3">
      <c r="A49" s="4">
        <v>2024</v>
      </c>
      <c r="B49" s="4" t="s">
        <v>22</v>
      </c>
      <c r="C49" s="4" t="s">
        <v>27</v>
      </c>
      <c r="D49" s="5">
        <v>37300410</v>
      </c>
      <c r="E49" s="4" t="s">
        <v>24</v>
      </c>
      <c r="F49" s="6" t="s">
        <v>50</v>
      </c>
    </row>
    <row r="50" spans="1:6" x14ac:dyDescent="0.3">
      <c r="A50" s="4">
        <v>2024</v>
      </c>
      <c r="B50" s="4" t="s">
        <v>22</v>
      </c>
      <c r="C50" s="4" t="s">
        <v>28</v>
      </c>
      <c r="D50" s="5">
        <v>14425638</v>
      </c>
      <c r="E50" s="4" t="s">
        <v>24</v>
      </c>
      <c r="F50" s="6" t="s">
        <v>50</v>
      </c>
    </row>
    <row r="51" spans="1:6" ht="28.8" x14ac:dyDescent="0.3">
      <c r="A51" s="4">
        <v>2024</v>
      </c>
      <c r="B51" s="4" t="s">
        <v>22</v>
      </c>
      <c r="C51" s="4" t="s">
        <v>29</v>
      </c>
      <c r="D51" s="5">
        <v>24916243</v>
      </c>
      <c r="E51" s="4" t="s">
        <v>24</v>
      </c>
      <c r="F51" s="6" t="s">
        <v>51</v>
      </c>
    </row>
    <row r="52" spans="1:6" x14ac:dyDescent="0.3">
      <c r="A52" s="4">
        <v>2024</v>
      </c>
      <c r="B52" s="4" t="s">
        <v>30</v>
      </c>
      <c r="C52" s="4" t="s">
        <v>31</v>
      </c>
      <c r="D52" s="5">
        <v>160638143</v>
      </c>
      <c r="E52" s="4" t="s">
        <v>24</v>
      </c>
      <c r="F52" s="6" t="s">
        <v>52</v>
      </c>
    </row>
    <row r="53" spans="1:6" x14ac:dyDescent="0.3">
      <c r="A53" s="4">
        <v>2024</v>
      </c>
      <c r="B53" s="4" t="s">
        <v>30</v>
      </c>
      <c r="C53" s="4" t="s">
        <v>33</v>
      </c>
      <c r="D53" s="5">
        <v>72745125</v>
      </c>
      <c r="E53" s="4" t="s">
        <v>24</v>
      </c>
      <c r="F53" s="6" t="s">
        <v>53</v>
      </c>
    </row>
    <row r="54" spans="1:6" x14ac:dyDescent="0.3">
      <c r="A54" s="4">
        <v>2024</v>
      </c>
      <c r="B54" s="4" t="s">
        <v>30</v>
      </c>
      <c r="C54" s="4" t="s">
        <v>34</v>
      </c>
      <c r="D54" s="5">
        <v>68153096</v>
      </c>
      <c r="E54" s="4" t="s">
        <v>24</v>
      </c>
      <c r="F54" s="6" t="s">
        <v>52</v>
      </c>
    </row>
    <row r="55" spans="1:6" x14ac:dyDescent="0.3">
      <c r="A55" s="4">
        <v>2024</v>
      </c>
      <c r="B55" s="4" t="s">
        <v>30</v>
      </c>
      <c r="C55" s="4" t="s">
        <v>35</v>
      </c>
      <c r="D55" s="5">
        <v>38956261</v>
      </c>
      <c r="E55" s="4" t="s">
        <v>24</v>
      </c>
      <c r="F55" s="6" t="s">
        <v>52</v>
      </c>
    </row>
    <row r="56" spans="1:6" x14ac:dyDescent="0.3">
      <c r="A56" s="4">
        <v>2024</v>
      </c>
      <c r="B56" s="4" t="s">
        <v>30</v>
      </c>
      <c r="C56" s="4" t="s">
        <v>36</v>
      </c>
      <c r="D56" s="5">
        <v>92485047</v>
      </c>
      <c r="E56" s="4" t="s">
        <v>24</v>
      </c>
      <c r="F56" s="6" t="s">
        <v>52</v>
      </c>
    </row>
    <row r="57" spans="1:6" x14ac:dyDescent="0.3">
      <c r="A57" s="4">
        <v>2024</v>
      </c>
      <c r="B57" s="4" t="s">
        <v>38</v>
      </c>
      <c r="C57" s="4" t="s">
        <v>39</v>
      </c>
      <c r="D57" s="5">
        <v>19885337</v>
      </c>
      <c r="E57" s="4" t="s">
        <v>24</v>
      </c>
      <c r="F57" s="6" t="s">
        <v>54</v>
      </c>
    </row>
    <row r="58" spans="1:6" x14ac:dyDescent="0.3">
      <c r="A58" s="4">
        <v>2024</v>
      </c>
      <c r="B58" s="4" t="s">
        <v>38</v>
      </c>
      <c r="C58" s="4" t="s">
        <v>41</v>
      </c>
      <c r="D58" s="5">
        <v>-7178981</v>
      </c>
      <c r="E58" s="4" t="s">
        <v>24</v>
      </c>
      <c r="F58" s="6" t="s">
        <v>54</v>
      </c>
    </row>
    <row r="59" spans="1:6" x14ac:dyDescent="0.3">
      <c r="A59" s="4">
        <v>2024</v>
      </c>
      <c r="B59" s="4" t="s">
        <v>38</v>
      </c>
      <c r="C59" s="4" t="s">
        <v>42</v>
      </c>
      <c r="D59" s="5">
        <v>-10495146</v>
      </c>
      <c r="E59" s="4" t="s">
        <v>24</v>
      </c>
      <c r="F59" s="6" t="s">
        <v>54</v>
      </c>
    </row>
    <row r="60" spans="1:6" x14ac:dyDescent="0.3">
      <c r="A60" s="4">
        <v>2024</v>
      </c>
      <c r="B60" s="4" t="s">
        <v>38</v>
      </c>
      <c r="C60" s="4" t="s">
        <v>43</v>
      </c>
      <c r="D60" s="5">
        <v>15543441</v>
      </c>
      <c r="E60" s="4" t="s">
        <v>24</v>
      </c>
      <c r="F60" s="6" t="s">
        <v>54</v>
      </c>
    </row>
    <row r="61" spans="1:6" x14ac:dyDescent="0.3">
      <c r="A61" s="4">
        <v>2025</v>
      </c>
      <c r="B61" s="4" t="s">
        <v>22</v>
      </c>
      <c r="C61" s="4" t="s">
        <v>23</v>
      </c>
      <c r="D61" s="5">
        <v>77818675</v>
      </c>
      <c r="E61" s="4" t="s">
        <v>24</v>
      </c>
      <c r="F61" s="6" t="s">
        <v>55</v>
      </c>
    </row>
    <row r="62" spans="1:6" x14ac:dyDescent="0.3">
      <c r="A62" s="4">
        <v>2025</v>
      </c>
      <c r="B62" s="4" t="s">
        <v>22</v>
      </c>
      <c r="C62" s="4" t="s">
        <v>26</v>
      </c>
      <c r="D62" s="5">
        <v>-40118986</v>
      </c>
      <c r="E62" s="4" t="s">
        <v>24</v>
      </c>
      <c r="F62" s="6" t="s">
        <v>55</v>
      </c>
    </row>
    <row r="63" spans="1:6" x14ac:dyDescent="0.3">
      <c r="A63" s="4">
        <v>2025</v>
      </c>
      <c r="B63" s="4" t="s">
        <v>22</v>
      </c>
      <c r="C63" s="4" t="s">
        <v>27</v>
      </c>
      <c r="D63" s="5">
        <v>37699689</v>
      </c>
      <c r="E63" s="4" t="s">
        <v>24</v>
      </c>
      <c r="F63" s="6" t="s">
        <v>55</v>
      </c>
    </row>
    <row r="64" spans="1:6" x14ac:dyDescent="0.3">
      <c r="A64" s="4">
        <v>2025</v>
      </c>
      <c r="B64" s="4" t="s">
        <v>22</v>
      </c>
      <c r="C64" s="4" t="s">
        <v>28</v>
      </c>
      <c r="D64" s="5">
        <v>14438264</v>
      </c>
      <c r="E64" s="4" t="s">
        <v>24</v>
      </c>
      <c r="F64" s="6" t="s">
        <v>55</v>
      </c>
    </row>
    <row r="65" spans="1:6" ht="28.8" x14ac:dyDescent="0.3">
      <c r="A65" s="4">
        <v>2025</v>
      </c>
      <c r="B65" s="4" t="s">
        <v>22</v>
      </c>
      <c r="C65" s="4" t="s">
        <v>29</v>
      </c>
      <c r="D65" s="5">
        <v>15134945</v>
      </c>
      <c r="E65" s="4" t="s">
        <v>24</v>
      </c>
      <c r="F65" s="6" t="s">
        <v>56</v>
      </c>
    </row>
    <row r="66" spans="1:6" x14ac:dyDescent="0.3">
      <c r="A66" s="4">
        <v>2025</v>
      </c>
      <c r="B66" s="4" t="s">
        <v>30</v>
      </c>
      <c r="C66" s="4" t="s">
        <v>31</v>
      </c>
      <c r="D66" s="5">
        <v>157476669</v>
      </c>
      <c r="E66" s="4" t="s">
        <v>24</v>
      </c>
      <c r="F66" s="6" t="s">
        <v>57</v>
      </c>
    </row>
    <row r="67" spans="1:6" x14ac:dyDescent="0.3">
      <c r="A67" s="4">
        <v>2025</v>
      </c>
      <c r="B67" s="4" t="s">
        <v>30</v>
      </c>
      <c r="C67" s="4" t="s">
        <v>33</v>
      </c>
      <c r="D67" s="5">
        <v>58015755</v>
      </c>
      <c r="E67" s="4" t="s">
        <v>24</v>
      </c>
      <c r="F67" s="6" t="s">
        <v>57</v>
      </c>
    </row>
    <row r="68" spans="1:6" x14ac:dyDescent="0.3">
      <c r="A68" s="4">
        <v>2025</v>
      </c>
      <c r="B68" s="4" t="s">
        <v>30</v>
      </c>
      <c r="C68" s="4" t="s">
        <v>34</v>
      </c>
      <c r="D68" s="5">
        <v>71090329</v>
      </c>
      <c r="E68" s="4" t="s">
        <v>24</v>
      </c>
      <c r="F68" s="6" t="s">
        <v>57</v>
      </c>
    </row>
    <row r="69" spans="1:6" x14ac:dyDescent="0.3">
      <c r="A69" s="4">
        <v>2025</v>
      </c>
      <c r="B69" s="4" t="s">
        <v>30</v>
      </c>
      <c r="C69" s="4" t="s">
        <v>35</v>
      </c>
      <c r="D69" s="5">
        <v>40172575</v>
      </c>
      <c r="E69" s="4" t="s">
        <v>24</v>
      </c>
      <c r="F69" s="6" t="s">
        <v>57</v>
      </c>
    </row>
    <row r="70" spans="1:6" x14ac:dyDescent="0.3">
      <c r="A70" s="4">
        <v>2025</v>
      </c>
      <c r="B70" s="4" t="s">
        <v>30</v>
      </c>
      <c r="C70" s="4" t="s">
        <v>36</v>
      </c>
      <c r="D70" s="5">
        <v>86386340</v>
      </c>
      <c r="E70" s="4" t="s">
        <v>24</v>
      </c>
      <c r="F70" s="6" t="s">
        <v>57</v>
      </c>
    </row>
    <row r="71" spans="1:6" x14ac:dyDescent="0.3">
      <c r="A71" s="4">
        <v>2025</v>
      </c>
      <c r="B71" s="4" t="s">
        <v>38</v>
      </c>
      <c r="C71" s="4" t="s">
        <v>39</v>
      </c>
      <c r="D71" s="5">
        <v>18283163</v>
      </c>
      <c r="E71" s="4" t="s">
        <v>24</v>
      </c>
      <c r="F71" s="6" t="s">
        <v>58</v>
      </c>
    </row>
    <row r="72" spans="1:6" x14ac:dyDescent="0.3">
      <c r="A72" s="4">
        <v>2025</v>
      </c>
      <c r="B72" s="4" t="s">
        <v>38</v>
      </c>
      <c r="C72" s="4" t="s">
        <v>41</v>
      </c>
      <c r="D72" s="5">
        <v>2546411</v>
      </c>
      <c r="E72" s="4" t="s">
        <v>24</v>
      </c>
      <c r="F72" s="6" t="s">
        <v>58</v>
      </c>
    </row>
    <row r="73" spans="1:6" x14ac:dyDescent="0.3">
      <c r="A73" s="4">
        <v>2025</v>
      </c>
      <c r="B73" s="4" t="s">
        <v>38</v>
      </c>
      <c r="C73" s="4" t="s">
        <v>42</v>
      </c>
      <c r="D73" s="5">
        <v>-23000575</v>
      </c>
      <c r="E73" s="4" t="s">
        <v>24</v>
      </c>
      <c r="F73" s="6" t="s">
        <v>58</v>
      </c>
    </row>
    <row r="74" spans="1:6" x14ac:dyDescent="0.3">
      <c r="A74" s="4">
        <v>2025</v>
      </c>
      <c r="B74" s="4" t="s">
        <v>38</v>
      </c>
      <c r="C74" s="4" t="s">
        <v>43</v>
      </c>
      <c r="D74" s="5">
        <v>13376071</v>
      </c>
      <c r="E74" s="4" t="s">
        <v>24</v>
      </c>
      <c r="F74" s="6" t="s">
        <v>58</v>
      </c>
    </row>
  </sheetData>
  <autoFilter ref="A4:F74" xr:uid="{00000000-0009-0000-0000-000002000000}"/>
  <mergeCells count="2">
    <mergeCell ref="A2:H2"/>
    <mergeCell ref="A1:H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99"/>
  <sheetViews>
    <sheetView showGridLines="0" zoomScale="70" workbookViewId="0">
      <pane ySplit="4" topLeftCell="A66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32" customWidth="1"/>
    <col min="3" max="3" width="20" customWidth="1"/>
    <col min="4" max="4" width="18" customWidth="1"/>
    <col min="5" max="5" width="95" customWidth="1"/>
  </cols>
  <sheetData>
    <row r="1" spans="1:9" ht="23.4" x14ac:dyDescent="0.45">
      <c r="A1" s="16" t="s">
        <v>61</v>
      </c>
      <c r="B1" s="15"/>
      <c r="C1" s="15"/>
      <c r="D1" s="15"/>
      <c r="E1" s="15"/>
      <c r="F1" s="15"/>
      <c r="G1" s="15"/>
      <c r="H1" s="15"/>
    </row>
    <row r="2" spans="1:9" x14ac:dyDescent="0.3">
      <c r="A2" s="14" t="s">
        <v>62</v>
      </c>
      <c r="B2" s="15"/>
      <c r="C2" s="15"/>
      <c r="D2" s="15"/>
      <c r="E2" s="15"/>
      <c r="F2" s="15"/>
      <c r="G2" s="15"/>
      <c r="H2" s="15"/>
    </row>
    <row r="4" spans="1:9" ht="28.8" x14ac:dyDescent="0.3">
      <c r="A4" s="7" t="s">
        <v>16</v>
      </c>
      <c r="B4" s="7" t="s">
        <v>63</v>
      </c>
      <c r="C4" s="7" t="s">
        <v>64</v>
      </c>
      <c r="D4" s="7" t="s">
        <v>20</v>
      </c>
      <c r="E4" s="7" t="s">
        <v>65</v>
      </c>
      <c r="F4" s="7"/>
      <c r="G4" s="7" t="s">
        <v>16</v>
      </c>
      <c r="H4" s="7" t="s">
        <v>23</v>
      </c>
      <c r="I4" s="7" t="s">
        <v>29</v>
      </c>
    </row>
    <row r="5" spans="1:9" x14ac:dyDescent="0.3">
      <c r="A5" s="4">
        <v>2021</v>
      </c>
      <c r="B5" s="4" t="s">
        <v>23</v>
      </c>
      <c r="C5" s="5">
        <v>63007986</v>
      </c>
      <c r="D5" s="4" t="s">
        <v>24</v>
      </c>
      <c r="E5" s="6" t="s">
        <v>66</v>
      </c>
      <c r="G5">
        <v>2021</v>
      </c>
      <c r="H5">
        <v>63007986</v>
      </c>
      <c r="I5">
        <v>11594697</v>
      </c>
    </row>
    <row r="6" spans="1:9" x14ac:dyDescent="0.3">
      <c r="A6" s="4">
        <v>2021</v>
      </c>
      <c r="B6" s="4" t="s">
        <v>67</v>
      </c>
      <c r="C6" s="8"/>
      <c r="D6" s="4" t="s">
        <v>68</v>
      </c>
      <c r="E6" s="6" t="s">
        <v>69</v>
      </c>
      <c r="G6">
        <v>2022</v>
      </c>
      <c r="H6">
        <v>67431546</v>
      </c>
      <c r="I6">
        <v>12386922</v>
      </c>
    </row>
    <row r="7" spans="1:9" x14ac:dyDescent="0.3">
      <c r="A7" s="4">
        <v>2021</v>
      </c>
      <c r="B7" s="4" t="s">
        <v>70</v>
      </c>
      <c r="C7" s="9">
        <v>0.53634517059472431</v>
      </c>
      <c r="D7" s="4" t="s">
        <v>68</v>
      </c>
      <c r="E7" s="6" t="s">
        <v>71</v>
      </c>
      <c r="G7">
        <v>2023</v>
      </c>
      <c r="H7">
        <v>71777161</v>
      </c>
      <c r="I7">
        <v>13419479</v>
      </c>
    </row>
    <row r="8" spans="1:9" x14ac:dyDescent="0.3">
      <c r="A8" s="4">
        <v>2021</v>
      </c>
      <c r="B8" s="4" t="s">
        <v>72</v>
      </c>
      <c r="C8" s="9">
        <v>0.2083506525664858</v>
      </c>
      <c r="D8" s="4" t="s">
        <v>68</v>
      </c>
      <c r="E8" s="6" t="s">
        <v>73</v>
      </c>
      <c r="G8">
        <v>2024</v>
      </c>
      <c r="H8">
        <v>75893413</v>
      </c>
      <c r="I8">
        <v>24916243</v>
      </c>
    </row>
    <row r="9" spans="1:9" x14ac:dyDescent="0.3">
      <c r="A9" s="4">
        <v>2021</v>
      </c>
      <c r="B9" s="4" t="s">
        <v>74</v>
      </c>
      <c r="C9" s="9">
        <v>0.18401948286364839</v>
      </c>
      <c r="D9" s="4" t="s">
        <v>68</v>
      </c>
      <c r="E9" s="6" t="s">
        <v>75</v>
      </c>
      <c r="G9">
        <v>2025</v>
      </c>
      <c r="H9">
        <v>77818675</v>
      </c>
      <c r="I9">
        <v>15134945</v>
      </c>
    </row>
    <row r="10" spans="1:9" x14ac:dyDescent="0.3">
      <c r="A10" s="4">
        <v>2021</v>
      </c>
      <c r="B10" s="4" t="s">
        <v>76</v>
      </c>
      <c r="C10" s="8"/>
      <c r="D10" s="4" t="s">
        <v>68</v>
      </c>
      <c r="E10" s="6" t="s">
        <v>77</v>
      </c>
    </row>
    <row r="11" spans="1:9" x14ac:dyDescent="0.3">
      <c r="A11" s="4">
        <v>2021</v>
      </c>
      <c r="B11" s="4" t="s">
        <v>31</v>
      </c>
      <c r="C11" s="5">
        <v>121972100</v>
      </c>
      <c r="D11" s="4" t="s">
        <v>24</v>
      </c>
      <c r="E11" s="6" t="s">
        <v>78</v>
      </c>
    </row>
    <row r="12" spans="1:9" x14ac:dyDescent="0.3">
      <c r="A12" s="4">
        <v>2021</v>
      </c>
      <c r="B12" s="4" t="s">
        <v>34</v>
      </c>
      <c r="C12" s="5">
        <v>56705085</v>
      </c>
      <c r="D12" s="4" t="s">
        <v>24</v>
      </c>
      <c r="E12" s="6" t="s">
        <v>79</v>
      </c>
    </row>
    <row r="13" spans="1:9" x14ac:dyDescent="0.3">
      <c r="A13" s="4">
        <v>2021</v>
      </c>
      <c r="B13" s="4" t="s">
        <v>36</v>
      </c>
      <c r="C13" s="5">
        <v>71385979</v>
      </c>
      <c r="D13" s="4" t="s">
        <v>24</v>
      </c>
      <c r="E13" s="6" t="s">
        <v>80</v>
      </c>
    </row>
    <row r="14" spans="1:9" x14ac:dyDescent="0.3">
      <c r="A14" s="4">
        <v>2021</v>
      </c>
      <c r="B14" s="4" t="s">
        <v>81</v>
      </c>
      <c r="C14" s="10">
        <v>1.533588422502705</v>
      </c>
      <c r="D14" s="4" t="s">
        <v>68</v>
      </c>
      <c r="E14" s="6" t="s">
        <v>82</v>
      </c>
    </row>
    <row r="15" spans="1:9" x14ac:dyDescent="0.3">
      <c r="A15" s="4">
        <v>2021</v>
      </c>
      <c r="B15" s="4" t="s">
        <v>83</v>
      </c>
      <c r="C15" s="9">
        <v>0.46490209646304359</v>
      </c>
      <c r="D15" s="4" t="s">
        <v>68</v>
      </c>
      <c r="E15" s="6" t="s">
        <v>84</v>
      </c>
    </row>
    <row r="16" spans="1:9" x14ac:dyDescent="0.3">
      <c r="A16" s="4">
        <v>2021</v>
      </c>
      <c r="B16" s="4" t="s">
        <v>85</v>
      </c>
      <c r="C16" s="10">
        <v>0.79434485306981639</v>
      </c>
      <c r="D16" s="4" t="s">
        <v>68</v>
      </c>
      <c r="E16" s="6" t="s">
        <v>86</v>
      </c>
    </row>
    <row r="17" spans="1:5" x14ac:dyDescent="0.3">
      <c r="A17" s="4">
        <v>2021</v>
      </c>
      <c r="B17" s="4" t="s">
        <v>87</v>
      </c>
      <c r="C17" s="9">
        <v>9.5060239185846593E-2</v>
      </c>
      <c r="D17" s="4" t="s">
        <v>68</v>
      </c>
      <c r="E17" s="6" t="s">
        <v>88</v>
      </c>
    </row>
    <row r="18" spans="1:5" x14ac:dyDescent="0.3">
      <c r="A18" s="4">
        <v>2021</v>
      </c>
      <c r="B18" s="4" t="s">
        <v>89</v>
      </c>
      <c r="C18" s="9">
        <v>0.16242260962758531</v>
      </c>
      <c r="D18" s="4" t="s">
        <v>68</v>
      </c>
      <c r="E18" s="6" t="s">
        <v>90</v>
      </c>
    </row>
    <row r="19" spans="1:5" x14ac:dyDescent="0.3">
      <c r="A19" s="4">
        <v>2021</v>
      </c>
      <c r="B19" s="4" t="s">
        <v>39</v>
      </c>
      <c r="C19" s="5">
        <v>11220155</v>
      </c>
      <c r="D19" s="4" t="s">
        <v>24</v>
      </c>
      <c r="E19" s="6" t="s">
        <v>91</v>
      </c>
    </row>
    <row r="20" spans="1:5" x14ac:dyDescent="0.3">
      <c r="A20" s="4">
        <v>2021</v>
      </c>
      <c r="B20" s="4" t="s">
        <v>41</v>
      </c>
      <c r="C20" s="5">
        <v>-1714583</v>
      </c>
      <c r="D20" s="4" t="s">
        <v>24</v>
      </c>
      <c r="E20" s="6" t="s">
        <v>92</v>
      </c>
    </row>
    <row r="21" spans="1:5" x14ac:dyDescent="0.3">
      <c r="A21" s="4">
        <v>2021</v>
      </c>
      <c r="B21" s="4" t="s">
        <v>42</v>
      </c>
      <c r="C21" s="5">
        <v>-10235177</v>
      </c>
      <c r="D21" s="4" t="s">
        <v>24</v>
      </c>
      <c r="E21" s="6" t="s">
        <v>93</v>
      </c>
    </row>
    <row r="22" spans="1:5" x14ac:dyDescent="0.3">
      <c r="A22" s="4">
        <v>2021</v>
      </c>
      <c r="B22" s="4" t="s">
        <v>94</v>
      </c>
      <c r="C22" s="5">
        <v>0.96769712912722083</v>
      </c>
      <c r="D22" s="4" t="s">
        <v>68</v>
      </c>
      <c r="E22" s="6" t="s">
        <v>95</v>
      </c>
    </row>
    <row r="23" spans="1:5" x14ac:dyDescent="0.3">
      <c r="A23" s="4">
        <v>2021</v>
      </c>
      <c r="B23" s="4" t="s">
        <v>43</v>
      </c>
      <c r="C23" s="5">
        <v>8281301</v>
      </c>
      <c r="D23" s="4" t="s">
        <v>24</v>
      </c>
      <c r="E23" s="6" t="s">
        <v>96</v>
      </c>
    </row>
    <row r="24" spans="1:5" x14ac:dyDescent="0.3">
      <c r="A24" s="4">
        <v>2022</v>
      </c>
      <c r="B24" s="4" t="s">
        <v>23</v>
      </c>
      <c r="C24" s="5">
        <v>67431546</v>
      </c>
      <c r="D24" s="4" t="s">
        <v>24</v>
      </c>
      <c r="E24" s="6" t="s">
        <v>66</v>
      </c>
    </row>
    <row r="25" spans="1:5" x14ac:dyDescent="0.3">
      <c r="A25" s="4">
        <v>2022</v>
      </c>
      <c r="B25" s="4" t="s">
        <v>67</v>
      </c>
      <c r="C25" s="9">
        <v>7.0206338606030094E-2</v>
      </c>
      <c r="D25" s="4" t="s">
        <v>68</v>
      </c>
      <c r="E25" s="6" t="s">
        <v>69</v>
      </c>
    </row>
    <row r="26" spans="1:5" x14ac:dyDescent="0.3">
      <c r="A26" s="4">
        <v>2022</v>
      </c>
      <c r="B26" s="4" t="s">
        <v>70</v>
      </c>
      <c r="C26" s="9">
        <v>0.55453652211978055</v>
      </c>
      <c r="D26" s="4" t="s">
        <v>68</v>
      </c>
      <c r="E26" s="6" t="s">
        <v>71</v>
      </c>
    </row>
    <row r="27" spans="1:5" x14ac:dyDescent="0.3">
      <c r="A27" s="4">
        <v>2022</v>
      </c>
      <c r="B27" s="4" t="s">
        <v>72</v>
      </c>
      <c r="C27" s="9">
        <v>0.22375938110628521</v>
      </c>
      <c r="D27" s="4" t="s">
        <v>68</v>
      </c>
      <c r="E27" s="6" t="s">
        <v>73</v>
      </c>
    </row>
    <row r="28" spans="1:5" x14ac:dyDescent="0.3">
      <c r="A28" s="4">
        <v>2022</v>
      </c>
      <c r="B28" s="4" t="s">
        <v>74</v>
      </c>
      <c r="C28" s="9">
        <v>0.18369624804390511</v>
      </c>
      <c r="D28" s="4" t="s">
        <v>68</v>
      </c>
      <c r="E28" s="6" t="s">
        <v>75</v>
      </c>
    </row>
    <row r="29" spans="1:5" x14ac:dyDescent="0.3">
      <c r="A29" s="4">
        <v>2022</v>
      </c>
      <c r="B29" s="4" t="s">
        <v>76</v>
      </c>
      <c r="C29" s="9">
        <v>6.8326494431031781E-2</v>
      </c>
      <c r="D29" s="4" t="s">
        <v>68</v>
      </c>
      <c r="E29" s="6" t="s">
        <v>77</v>
      </c>
    </row>
    <row r="30" spans="1:5" x14ac:dyDescent="0.3">
      <c r="A30" s="4">
        <v>2022</v>
      </c>
      <c r="B30" s="4" t="s">
        <v>31</v>
      </c>
      <c r="C30" s="5">
        <v>137219986</v>
      </c>
      <c r="D30" s="4" t="s">
        <v>24</v>
      </c>
      <c r="E30" s="6" t="s">
        <v>78</v>
      </c>
    </row>
    <row r="31" spans="1:5" x14ac:dyDescent="0.3">
      <c r="A31" s="4">
        <v>2022</v>
      </c>
      <c r="B31" s="4" t="s">
        <v>34</v>
      </c>
      <c r="C31" s="5">
        <v>61194394</v>
      </c>
      <c r="D31" s="4" t="s">
        <v>24</v>
      </c>
      <c r="E31" s="6" t="s">
        <v>79</v>
      </c>
    </row>
    <row r="32" spans="1:5" x14ac:dyDescent="0.3">
      <c r="A32" s="4">
        <v>2022</v>
      </c>
      <c r="B32" s="4" t="s">
        <v>36</v>
      </c>
      <c r="C32" s="5">
        <v>76025592</v>
      </c>
      <c r="D32" s="4" t="s">
        <v>24</v>
      </c>
      <c r="E32" s="6" t="s">
        <v>80</v>
      </c>
    </row>
    <row r="33" spans="1:5" x14ac:dyDescent="0.3">
      <c r="A33" s="4">
        <v>2022</v>
      </c>
      <c r="B33" s="4" t="s">
        <v>81</v>
      </c>
      <c r="C33" s="10">
        <v>1.673981716126334</v>
      </c>
      <c r="D33" s="4" t="s">
        <v>68</v>
      </c>
      <c r="E33" s="6" t="s">
        <v>82</v>
      </c>
    </row>
    <row r="34" spans="1:5" x14ac:dyDescent="0.3">
      <c r="A34" s="4">
        <v>2022</v>
      </c>
      <c r="B34" s="4" t="s">
        <v>83</v>
      </c>
      <c r="C34" s="9">
        <v>0.44595831688832849</v>
      </c>
      <c r="D34" s="4" t="s">
        <v>68</v>
      </c>
      <c r="E34" s="6" t="s">
        <v>84</v>
      </c>
    </row>
    <row r="35" spans="1:5" x14ac:dyDescent="0.3">
      <c r="A35" s="4">
        <v>2022</v>
      </c>
      <c r="B35" s="4" t="s">
        <v>85</v>
      </c>
      <c r="C35" s="10">
        <v>0.80491834907382243</v>
      </c>
      <c r="D35" s="4" t="s">
        <v>68</v>
      </c>
      <c r="E35" s="6" t="s">
        <v>86</v>
      </c>
    </row>
    <row r="36" spans="1:5" x14ac:dyDescent="0.3">
      <c r="A36" s="4">
        <v>2022</v>
      </c>
      <c r="B36" s="4" t="s">
        <v>87</v>
      </c>
      <c r="C36" s="9">
        <v>9.0270538287330823E-2</v>
      </c>
      <c r="D36" s="4" t="s">
        <v>68</v>
      </c>
      <c r="E36" s="6" t="s">
        <v>88</v>
      </c>
    </row>
    <row r="37" spans="1:5" x14ac:dyDescent="0.3">
      <c r="A37" s="4">
        <v>2022</v>
      </c>
      <c r="B37" s="4" t="s">
        <v>89</v>
      </c>
      <c r="C37" s="9">
        <v>0.16293095093557439</v>
      </c>
      <c r="D37" s="4" t="s">
        <v>68</v>
      </c>
      <c r="E37" s="6" t="s">
        <v>90</v>
      </c>
    </row>
    <row r="38" spans="1:5" x14ac:dyDescent="0.3">
      <c r="A38" s="4">
        <v>2022</v>
      </c>
      <c r="B38" s="4" t="s">
        <v>39</v>
      </c>
      <c r="C38" s="5">
        <v>26354390</v>
      </c>
      <c r="D38" s="4" t="s">
        <v>24</v>
      </c>
      <c r="E38" s="6" t="s">
        <v>91</v>
      </c>
    </row>
    <row r="39" spans="1:5" x14ac:dyDescent="0.3">
      <c r="A39" s="4">
        <v>2022</v>
      </c>
      <c r="B39" s="4" t="s">
        <v>41</v>
      </c>
      <c r="C39" s="5">
        <v>-8578939</v>
      </c>
      <c r="D39" s="4" t="s">
        <v>24</v>
      </c>
      <c r="E39" s="6" t="s">
        <v>92</v>
      </c>
    </row>
    <row r="40" spans="1:5" x14ac:dyDescent="0.3">
      <c r="A40" s="4">
        <v>2022</v>
      </c>
      <c r="B40" s="4" t="s">
        <v>42</v>
      </c>
      <c r="C40" s="5">
        <v>-8255503</v>
      </c>
      <c r="D40" s="4" t="s">
        <v>24</v>
      </c>
      <c r="E40" s="6" t="s">
        <v>93</v>
      </c>
    </row>
    <row r="41" spans="1:5" x14ac:dyDescent="0.3">
      <c r="A41" s="4">
        <v>2022</v>
      </c>
      <c r="B41" s="4" t="s">
        <v>94</v>
      </c>
      <c r="C41" s="5">
        <v>2.1275979617858249</v>
      </c>
      <c r="D41" s="4" t="s">
        <v>68</v>
      </c>
      <c r="E41" s="6" t="s">
        <v>95</v>
      </c>
    </row>
    <row r="42" spans="1:5" x14ac:dyDescent="0.3">
      <c r="A42" s="4">
        <v>2022</v>
      </c>
      <c r="B42" s="4" t="s">
        <v>43</v>
      </c>
      <c r="C42" s="5">
        <v>17794393</v>
      </c>
      <c r="D42" s="4" t="s">
        <v>24</v>
      </c>
      <c r="E42" s="6" t="s">
        <v>96</v>
      </c>
    </row>
    <row r="43" spans="1:5" x14ac:dyDescent="0.3">
      <c r="A43" s="4">
        <v>2023</v>
      </c>
      <c r="B43" s="4" t="s">
        <v>23</v>
      </c>
      <c r="C43" s="5">
        <v>71777161</v>
      </c>
      <c r="D43" s="4" t="s">
        <v>24</v>
      </c>
      <c r="E43" s="6" t="s">
        <v>66</v>
      </c>
    </row>
    <row r="44" spans="1:5" x14ac:dyDescent="0.3">
      <c r="A44" s="4">
        <v>2023</v>
      </c>
      <c r="B44" s="4" t="s">
        <v>67</v>
      </c>
      <c r="C44" s="9">
        <v>6.4444837138985411E-2</v>
      </c>
      <c r="D44" s="4" t="s">
        <v>68</v>
      </c>
      <c r="E44" s="6" t="s">
        <v>69</v>
      </c>
    </row>
    <row r="45" spans="1:5" x14ac:dyDescent="0.3">
      <c r="A45" s="4">
        <v>2023</v>
      </c>
      <c r="B45" s="4" t="s">
        <v>70</v>
      </c>
      <c r="C45" s="9">
        <v>0.48399888649817169</v>
      </c>
      <c r="D45" s="4" t="s">
        <v>68</v>
      </c>
      <c r="E45" s="6" t="s">
        <v>71</v>
      </c>
    </row>
    <row r="46" spans="1:5" x14ac:dyDescent="0.3">
      <c r="A46" s="4">
        <v>2023</v>
      </c>
      <c r="B46" s="4" t="s">
        <v>72</v>
      </c>
      <c r="C46" s="9">
        <v>0.18336321493685159</v>
      </c>
      <c r="D46" s="4" t="s">
        <v>68</v>
      </c>
      <c r="E46" s="6" t="s">
        <v>73</v>
      </c>
    </row>
    <row r="47" spans="1:5" x14ac:dyDescent="0.3">
      <c r="A47" s="4">
        <v>2023</v>
      </c>
      <c r="B47" s="4" t="s">
        <v>74</v>
      </c>
      <c r="C47" s="9">
        <v>0.18696029228573141</v>
      </c>
      <c r="D47" s="4" t="s">
        <v>68</v>
      </c>
      <c r="E47" s="6" t="s">
        <v>75</v>
      </c>
    </row>
    <row r="48" spans="1:5" x14ac:dyDescent="0.3">
      <c r="A48" s="4">
        <v>2023</v>
      </c>
      <c r="B48" s="4" t="s">
        <v>76</v>
      </c>
      <c r="C48" s="9">
        <v>8.3358642284176776E-2</v>
      </c>
      <c r="D48" s="4" t="s">
        <v>68</v>
      </c>
      <c r="E48" s="6" t="s">
        <v>77</v>
      </c>
    </row>
    <row r="49" spans="1:5" x14ac:dyDescent="0.3">
      <c r="A49" s="4">
        <v>2023</v>
      </c>
      <c r="B49" s="4" t="s">
        <v>31</v>
      </c>
      <c r="C49" s="5">
        <v>159682770</v>
      </c>
      <c r="D49" s="4" t="s">
        <v>24</v>
      </c>
      <c r="E49" s="6" t="s">
        <v>78</v>
      </c>
    </row>
    <row r="50" spans="1:5" x14ac:dyDescent="0.3">
      <c r="A50" s="4">
        <v>2023</v>
      </c>
      <c r="B50" s="4" t="s">
        <v>34</v>
      </c>
      <c r="C50" s="5">
        <v>78167604</v>
      </c>
      <c r="D50" s="4" t="s">
        <v>24</v>
      </c>
      <c r="E50" s="6" t="s">
        <v>79</v>
      </c>
    </row>
    <row r="51" spans="1:5" x14ac:dyDescent="0.3">
      <c r="A51" s="4">
        <v>2023</v>
      </c>
      <c r="B51" s="4" t="s">
        <v>36</v>
      </c>
      <c r="C51" s="5">
        <v>81515166</v>
      </c>
      <c r="D51" s="4" t="s">
        <v>24</v>
      </c>
      <c r="E51" s="6" t="s">
        <v>80</v>
      </c>
    </row>
    <row r="52" spans="1:5" x14ac:dyDescent="0.3">
      <c r="A52" s="4">
        <v>2023</v>
      </c>
      <c r="B52" s="4" t="s">
        <v>81</v>
      </c>
      <c r="C52" s="10">
        <v>1.481650811230687</v>
      </c>
      <c r="D52" s="4" t="s">
        <v>68</v>
      </c>
      <c r="E52" s="6" t="s">
        <v>82</v>
      </c>
    </row>
    <row r="53" spans="1:5" x14ac:dyDescent="0.3">
      <c r="A53" s="4">
        <v>2023</v>
      </c>
      <c r="B53" s="4" t="s">
        <v>83</v>
      </c>
      <c r="C53" s="9">
        <v>0.48951808639091121</v>
      </c>
      <c r="D53" s="4" t="s">
        <v>68</v>
      </c>
      <c r="E53" s="6" t="s">
        <v>84</v>
      </c>
    </row>
    <row r="54" spans="1:5" x14ac:dyDescent="0.3">
      <c r="A54" s="4">
        <v>2023</v>
      </c>
      <c r="B54" s="4" t="s">
        <v>85</v>
      </c>
      <c r="C54" s="10">
        <v>0.95893326157245384</v>
      </c>
      <c r="D54" s="4" t="s">
        <v>68</v>
      </c>
      <c r="E54" s="6" t="s">
        <v>86</v>
      </c>
    </row>
    <row r="55" spans="1:5" x14ac:dyDescent="0.3">
      <c r="A55" s="4">
        <v>2023</v>
      </c>
      <c r="B55" s="4" t="s">
        <v>87</v>
      </c>
      <c r="C55" s="9">
        <v>8.4038365566929979E-2</v>
      </c>
      <c r="D55" s="4" t="s">
        <v>68</v>
      </c>
      <c r="E55" s="6" t="s">
        <v>88</v>
      </c>
    </row>
    <row r="56" spans="1:5" x14ac:dyDescent="0.3">
      <c r="A56" s="4">
        <v>2023</v>
      </c>
      <c r="B56" s="4" t="s">
        <v>89</v>
      </c>
      <c r="C56" s="9">
        <v>0.16462554955724429</v>
      </c>
      <c r="D56" s="4" t="s">
        <v>68</v>
      </c>
      <c r="E56" s="6" t="s">
        <v>90</v>
      </c>
    </row>
    <row r="57" spans="1:5" x14ac:dyDescent="0.3">
      <c r="A57" s="4">
        <v>2023</v>
      </c>
      <c r="B57" s="4" t="s">
        <v>39</v>
      </c>
      <c r="C57" s="5">
        <v>22417558</v>
      </c>
      <c r="D57" s="4" t="s">
        <v>24</v>
      </c>
      <c r="E57" s="6" t="s">
        <v>91</v>
      </c>
    </row>
    <row r="58" spans="1:5" x14ac:dyDescent="0.3">
      <c r="A58" s="4">
        <v>2023</v>
      </c>
      <c r="B58" s="4" t="s">
        <v>41</v>
      </c>
      <c r="C58" s="5">
        <v>-28383342</v>
      </c>
      <c r="D58" s="4" t="s">
        <v>24</v>
      </c>
      <c r="E58" s="6" t="s">
        <v>92</v>
      </c>
    </row>
    <row r="59" spans="1:5" x14ac:dyDescent="0.3">
      <c r="A59" s="4">
        <v>2023</v>
      </c>
      <c r="B59" s="4" t="s">
        <v>42</v>
      </c>
      <c r="C59" s="5">
        <v>1590929</v>
      </c>
      <c r="D59" s="4" t="s">
        <v>24</v>
      </c>
      <c r="E59" s="6" t="s">
        <v>93</v>
      </c>
    </row>
    <row r="60" spans="1:5" x14ac:dyDescent="0.3">
      <c r="A60" s="4">
        <v>2023</v>
      </c>
      <c r="B60" s="4" t="s">
        <v>94</v>
      </c>
      <c r="C60" s="5">
        <v>1.670523721524509</v>
      </c>
      <c r="D60" s="4" t="s">
        <v>68</v>
      </c>
      <c r="E60" s="6" t="s">
        <v>95</v>
      </c>
    </row>
    <row r="61" spans="1:5" x14ac:dyDescent="0.3">
      <c r="A61" s="4">
        <v>2023</v>
      </c>
      <c r="B61" s="4" t="s">
        <v>43</v>
      </c>
      <c r="C61" s="5">
        <v>13414125</v>
      </c>
      <c r="D61" s="4" t="s">
        <v>24</v>
      </c>
      <c r="E61" s="6" t="s">
        <v>96</v>
      </c>
    </row>
    <row r="62" spans="1:5" x14ac:dyDescent="0.3">
      <c r="A62" s="4">
        <v>2024</v>
      </c>
      <c r="B62" s="4" t="s">
        <v>23</v>
      </c>
      <c r="C62" s="5">
        <v>75893413</v>
      </c>
      <c r="D62" s="4" t="s">
        <v>24</v>
      </c>
      <c r="E62" s="6" t="s">
        <v>66</v>
      </c>
    </row>
    <row r="63" spans="1:5" x14ac:dyDescent="0.3">
      <c r="A63" s="4">
        <v>2024</v>
      </c>
      <c r="B63" s="4" t="s">
        <v>67</v>
      </c>
      <c r="C63" s="9">
        <v>5.7347656868178547E-2</v>
      </c>
      <c r="D63" s="4" t="s">
        <v>68</v>
      </c>
      <c r="E63" s="6" t="s">
        <v>69</v>
      </c>
    </row>
    <row r="64" spans="1:5" x14ac:dyDescent="0.3">
      <c r="A64" s="4">
        <v>2024</v>
      </c>
      <c r="B64" s="4" t="s">
        <v>70</v>
      </c>
      <c r="C64" s="9">
        <v>0.4914841555485191</v>
      </c>
      <c r="D64" s="4" t="s">
        <v>68</v>
      </c>
      <c r="E64" s="6" t="s">
        <v>71</v>
      </c>
    </row>
    <row r="65" spans="1:5" x14ac:dyDescent="0.3">
      <c r="A65" s="4">
        <v>2024</v>
      </c>
      <c r="B65" s="4" t="s">
        <v>72</v>
      </c>
      <c r="C65" s="9">
        <v>0.19007760265044349</v>
      </c>
      <c r="D65" s="4" t="s">
        <v>68</v>
      </c>
      <c r="E65" s="6" t="s">
        <v>73</v>
      </c>
    </row>
    <row r="66" spans="1:5" x14ac:dyDescent="0.3">
      <c r="A66" s="4">
        <v>2024</v>
      </c>
      <c r="B66" s="4" t="s">
        <v>74</v>
      </c>
      <c r="C66" s="9">
        <v>0.32830573847034661</v>
      </c>
      <c r="D66" s="4" t="s">
        <v>68</v>
      </c>
      <c r="E66" s="6" t="s">
        <v>75</v>
      </c>
    </row>
    <row r="67" spans="1:5" x14ac:dyDescent="0.3">
      <c r="A67" s="4">
        <v>2024</v>
      </c>
      <c r="B67" s="4" t="s">
        <v>76</v>
      </c>
      <c r="C67" s="9">
        <v>0.85672208287668994</v>
      </c>
      <c r="D67" s="4" t="s">
        <v>68</v>
      </c>
      <c r="E67" s="6" t="s">
        <v>77</v>
      </c>
    </row>
    <row r="68" spans="1:5" x14ac:dyDescent="0.3">
      <c r="A68" s="4">
        <v>2024</v>
      </c>
      <c r="B68" s="4" t="s">
        <v>31</v>
      </c>
      <c r="C68" s="5">
        <v>160638143</v>
      </c>
      <c r="D68" s="4" t="s">
        <v>24</v>
      </c>
      <c r="E68" s="6" t="s">
        <v>78</v>
      </c>
    </row>
    <row r="69" spans="1:5" x14ac:dyDescent="0.3">
      <c r="A69" s="4">
        <v>2024</v>
      </c>
      <c r="B69" s="4" t="s">
        <v>34</v>
      </c>
      <c r="C69" s="5">
        <v>68153096</v>
      </c>
      <c r="D69" s="4" t="s">
        <v>24</v>
      </c>
      <c r="E69" s="6" t="s">
        <v>79</v>
      </c>
    </row>
    <row r="70" spans="1:5" x14ac:dyDescent="0.3">
      <c r="A70" s="4">
        <v>2024</v>
      </c>
      <c r="B70" s="4" t="s">
        <v>36</v>
      </c>
      <c r="C70" s="5">
        <v>92485047</v>
      </c>
      <c r="D70" s="4" t="s">
        <v>24</v>
      </c>
      <c r="E70" s="6" t="s">
        <v>80</v>
      </c>
    </row>
    <row r="71" spans="1:5" x14ac:dyDescent="0.3">
      <c r="A71" s="4">
        <v>2024</v>
      </c>
      <c r="B71" s="4" t="s">
        <v>81</v>
      </c>
      <c r="C71" s="10">
        <v>1.867353876697766</v>
      </c>
      <c r="D71" s="4" t="s">
        <v>68</v>
      </c>
      <c r="E71" s="6" t="s">
        <v>82</v>
      </c>
    </row>
    <row r="72" spans="1:5" x14ac:dyDescent="0.3">
      <c r="A72" s="4">
        <v>2024</v>
      </c>
      <c r="B72" s="4" t="s">
        <v>83</v>
      </c>
      <c r="C72" s="9">
        <v>0.42426471526130632</v>
      </c>
      <c r="D72" s="4" t="s">
        <v>68</v>
      </c>
      <c r="E72" s="6" t="s">
        <v>84</v>
      </c>
    </row>
    <row r="73" spans="1:5" x14ac:dyDescent="0.3">
      <c r="A73" s="4">
        <v>2024</v>
      </c>
      <c r="B73" s="4" t="s">
        <v>85</v>
      </c>
      <c r="C73" s="10">
        <v>0.73690935141115299</v>
      </c>
      <c r="D73" s="4" t="s">
        <v>68</v>
      </c>
      <c r="E73" s="6" t="s">
        <v>86</v>
      </c>
    </row>
    <row r="74" spans="1:5" x14ac:dyDescent="0.3">
      <c r="A74" s="4">
        <v>2024</v>
      </c>
      <c r="B74" s="4" t="s">
        <v>87</v>
      </c>
      <c r="C74" s="9">
        <v>0.15510788742123341</v>
      </c>
      <c r="D74" s="4" t="s">
        <v>68</v>
      </c>
      <c r="E74" s="6" t="s">
        <v>88</v>
      </c>
    </row>
    <row r="75" spans="1:5" x14ac:dyDescent="0.3">
      <c r="A75" s="4">
        <v>2024</v>
      </c>
      <c r="B75" s="4" t="s">
        <v>89</v>
      </c>
      <c r="C75" s="9">
        <v>0.26940834013956871</v>
      </c>
      <c r="D75" s="4" t="s">
        <v>68</v>
      </c>
      <c r="E75" s="6" t="s">
        <v>90</v>
      </c>
    </row>
    <row r="76" spans="1:5" x14ac:dyDescent="0.3">
      <c r="A76" s="4">
        <v>2024</v>
      </c>
      <c r="B76" s="4" t="s">
        <v>39</v>
      </c>
      <c r="C76" s="5">
        <v>19885337</v>
      </c>
      <c r="D76" s="4" t="s">
        <v>24</v>
      </c>
      <c r="E76" s="6" t="s">
        <v>91</v>
      </c>
    </row>
    <row r="77" spans="1:5" x14ac:dyDescent="0.3">
      <c r="A77" s="4">
        <v>2024</v>
      </c>
      <c r="B77" s="4" t="s">
        <v>41</v>
      </c>
      <c r="C77" s="5">
        <v>-7178981</v>
      </c>
      <c r="D77" s="4" t="s">
        <v>24</v>
      </c>
      <c r="E77" s="6" t="s">
        <v>92</v>
      </c>
    </row>
    <row r="78" spans="1:5" x14ac:dyDescent="0.3">
      <c r="A78" s="4">
        <v>2024</v>
      </c>
      <c r="B78" s="4" t="s">
        <v>42</v>
      </c>
      <c r="C78" s="5">
        <v>-10495146</v>
      </c>
      <c r="D78" s="4" t="s">
        <v>24</v>
      </c>
      <c r="E78" s="6" t="s">
        <v>93</v>
      </c>
    </row>
    <row r="79" spans="1:5" x14ac:dyDescent="0.3">
      <c r="A79" s="4">
        <v>2024</v>
      </c>
      <c r="B79" s="4" t="s">
        <v>94</v>
      </c>
      <c r="C79" s="5">
        <v>0.79808729590572702</v>
      </c>
      <c r="D79" s="4" t="s">
        <v>68</v>
      </c>
      <c r="E79" s="6" t="s">
        <v>95</v>
      </c>
    </row>
    <row r="80" spans="1:5" x14ac:dyDescent="0.3">
      <c r="A80" s="4">
        <v>2024</v>
      </c>
      <c r="B80" s="4" t="s">
        <v>43</v>
      </c>
      <c r="C80" s="5">
        <v>15543441</v>
      </c>
      <c r="D80" s="4" t="s">
        <v>24</v>
      </c>
      <c r="E80" s="6" t="s">
        <v>96</v>
      </c>
    </row>
    <row r="81" spans="1:5" x14ac:dyDescent="0.3">
      <c r="A81" s="4">
        <v>2025</v>
      </c>
      <c r="B81" s="4" t="s">
        <v>23</v>
      </c>
      <c r="C81" s="5">
        <v>77818675</v>
      </c>
      <c r="D81" s="4" t="s">
        <v>24</v>
      </c>
      <c r="E81" s="6" t="s">
        <v>66</v>
      </c>
    </row>
    <row r="82" spans="1:5" x14ac:dyDescent="0.3">
      <c r="A82" s="4">
        <v>2025</v>
      </c>
      <c r="B82" s="4" t="s">
        <v>67</v>
      </c>
      <c r="C82" s="9">
        <v>2.536797231664889E-2</v>
      </c>
      <c r="D82" s="4" t="s">
        <v>68</v>
      </c>
      <c r="E82" s="6" t="s">
        <v>69</v>
      </c>
    </row>
    <row r="83" spans="1:5" x14ac:dyDescent="0.3">
      <c r="A83" s="4">
        <v>2025</v>
      </c>
      <c r="B83" s="4" t="s">
        <v>70</v>
      </c>
      <c r="C83" s="9">
        <v>0.48445555003345919</v>
      </c>
      <c r="D83" s="4" t="s">
        <v>68</v>
      </c>
      <c r="E83" s="6" t="s">
        <v>71</v>
      </c>
    </row>
    <row r="84" spans="1:5" x14ac:dyDescent="0.3">
      <c r="A84" s="4">
        <v>2025</v>
      </c>
      <c r="B84" s="4" t="s">
        <v>72</v>
      </c>
      <c r="C84" s="9">
        <v>0.1855372633882548</v>
      </c>
      <c r="D84" s="4" t="s">
        <v>68</v>
      </c>
      <c r="E84" s="6" t="s">
        <v>73</v>
      </c>
    </row>
    <row r="85" spans="1:5" x14ac:dyDescent="0.3">
      <c r="A85" s="4">
        <v>2025</v>
      </c>
      <c r="B85" s="4" t="s">
        <v>74</v>
      </c>
      <c r="C85" s="9">
        <v>0.194489883051851</v>
      </c>
      <c r="D85" s="4" t="s">
        <v>68</v>
      </c>
      <c r="E85" s="6" t="s">
        <v>75</v>
      </c>
    </row>
    <row r="86" spans="1:5" x14ac:dyDescent="0.3">
      <c r="A86" s="4">
        <v>2025</v>
      </c>
      <c r="B86" s="4" t="s">
        <v>76</v>
      </c>
      <c r="C86" s="9">
        <v>-0.3925671298036385</v>
      </c>
      <c r="D86" s="4" t="s">
        <v>68</v>
      </c>
      <c r="E86" s="6" t="s">
        <v>77</v>
      </c>
    </row>
    <row r="87" spans="1:5" x14ac:dyDescent="0.3">
      <c r="A87" s="4">
        <v>2025</v>
      </c>
      <c r="B87" s="4" t="s">
        <v>31</v>
      </c>
      <c r="C87" s="5">
        <v>157476669</v>
      </c>
      <c r="D87" s="4" t="s">
        <v>24</v>
      </c>
      <c r="E87" s="6" t="s">
        <v>78</v>
      </c>
    </row>
    <row r="88" spans="1:5" x14ac:dyDescent="0.3">
      <c r="A88" s="4">
        <v>2025</v>
      </c>
      <c r="B88" s="4" t="s">
        <v>34</v>
      </c>
      <c r="C88" s="5">
        <v>71090329</v>
      </c>
      <c r="D88" s="4" t="s">
        <v>24</v>
      </c>
      <c r="E88" s="6" t="s">
        <v>79</v>
      </c>
    </row>
    <row r="89" spans="1:5" x14ac:dyDescent="0.3">
      <c r="A89" s="4">
        <v>2025</v>
      </c>
      <c r="B89" s="4" t="s">
        <v>36</v>
      </c>
      <c r="C89" s="5">
        <v>86386340</v>
      </c>
      <c r="D89" s="4" t="s">
        <v>24</v>
      </c>
      <c r="E89" s="6" t="s">
        <v>80</v>
      </c>
    </row>
    <row r="90" spans="1:5" x14ac:dyDescent="0.3">
      <c r="A90" s="4">
        <v>2025</v>
      </c>
      <c r="B90" s="4" t="s">
        <v>81</v>
      </c>
      <c r="C90" s="10">
        <v>1.444163213336461</v>
      </c>
      <c r="D90" s="4" t="s">
        <v>68</v>
      </c>
      <c r="E90" s="6" t="s">
        <v>82</v>
      </c>
    </row>
    <row r="91" spans="1:5" x14ac:dyDescent="0.3">
      <c r="A91" s="4">
        <v>2025</v>
      </c>
      <c r="B91" s="4" t="s">
        <v>83</v>
      </c>
      <c r="C91" s="9">
        <v>0.45143404068319481</v>
      </c>
      <c r="D91" s="4" t="s">
        <v>68</v>
      </c>
      <c r="E91" s="6" t="s">
        <v>84</v>
      </c>
    </row>
    <row r="92" spans="1:5" x14ac:dyDescent="0.3">
      <c r="A92" s="4">
        <v>2025</v>
      </c>
      <c r="B92" s="4" t="s">
        <v>85</v>
      </c>
      <c r="C92" s="10">
        <v>0.82293484131866224</v>
      </c>
      <c r="D92" s="4" t="s">
        <v>68</v>
      </c>
      <c r="E92" s="6" t="s">
        <v>86</v>
      </c>
    </row>
    <row r="93" spans="1:5" x14ac:dyDescent="0.3">
      <c r="A93" s="4">
        <v>2025</v>
      </c>
      <c r="B93" s="4" t="s">
        <v>87</v>
      </c>
      <c r="C93" s="9">
        <v>9.6109125854065405E-2</v>
      </c>
      <c r="D93" s="4" t="s">
        <v>68</v>
      </c>
      <c r="E93" s="6" t="s">
        <v>88</v>
      </c>
    </row>
    <row r="94" spans="1:5" x14ac:dyDescent="0.3">
      <c r="A94" s="4">
        <v>2025</v>
      </c>
      <c r="B94" s="4" t="s">
        <v>89</v>
      </c>
      <c r="C94" s="9">
        <v>0.17520067408805609</v>
      </c>
      <c r="D94" s="4" t="s">
        <v>68</v>
      </c>
      <c r="E94" s="6" t="s">
        <v>90</v>
      </c>
    </row>
    <row r="95" spans="1:5" x14ac:dyDescent="0.3">
      <c r="A95" s="4">
        <v>2025</v>
      </c>
      <c r="B95" s="4" t="s">
        <v>39</v>
      </c>
      <c r="C95" s="5">
        <v>18283163</v>
      </c>
      <c r="D95" s="4" t="s">
        <v>24</v>
      </c>
      <c r="E95" s="6" t="s">
        <v>91</v>
      </c>
    </row>
    <row r="96" spans="1:5" x14ac:dyDescent="0.3">
      <c r="A96" s="4">
        <v>2025</v>
      </c>
      <c r="B96" s="4" t="s">
        <v>41</v>
      </c>
      <c r="C96" s="5">
        <v>2546411</v>
      </c>
      <c r="D96" s="4" t="s">
        <v>24</v>
      </c>
      <c r="E96" s="6" t="s">
        <v>92</v>
      </c>
    </row>
    <row r="97" spans="1:5" x14ac:dyDescent="0.3">
      <c r="A97" s="4">
        <v>2025</v>
      </c>
      <c r="B97" s="4" t="s">
        <v>42</v>
      </c>
      <c r="C97" s="5">
        <v>-23000575</v>
      </c>
      <c r="D97" s="4" t="s">
        <v>24</v>
      </c>
      <c r="E97" s="6" t="s">
        <v>93</v>
      </c>
    </row>
    <row r="98" spans="1:5" x14ac:dyDescent="0.3">
      <c r="A98" s="4">
        <v>2025</v>
      </c>
      <c r="B98" s="4" t="s">
        <v>94</v>
      </c>
      <c r="C98" s="5">
        <v>1.208009873838326</v>
      </c>
      <c r="D98" s="4" t="s">
        <v>68</v>
      </c>
      <c r="E98" s="6" t="s">
        <v>95</v>
      </c>
    </row>
    <row r="99" spans="1:5" x14ac:dyDescent="0.3">
      <c r="A99" s="4">
        <v>2025</v>
      </c>
      <c r="B99" s="4" t="s">
        <v>43</v>
      </c>
      <c r="C99" s="5">
        <v>13376071</v>
      </c>
      <c r="D99" s="4" t="s">
        <v>24</v>
      </c>
      <c r="E99" s="6" t="s">
        <v>96</v>
      </c>
    </row>
  </sheetData>
  <autoFilter ref="A4:E99" xr:uid="{00000000-0009-0000-0000-000003000000}"/>
  <mergeCells count="2">
    <mergeCell ref="A2:H2"/>
    <mergeCell ref="A1:H1"/>
  </mergeCells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5"/>
  <sheetViews>
    <sheetView showGridLines="0" workbookViewId="0">
      <pane ySplit="4" topLeftCell="A5" activePane="bottomLeft" state="frozen"/>
      <selection pane="bottomLeft" activeCell="C31" sqref="C31"/>
    </sheetView>
  </sheetViews>
  <sheetFormatPr defaultRowHeight="14.4" x14ac:dyDescent="0.3"/>
  <cols>
    <col min="1" max="1" width="34" customWidth="1"/>
    <col min="2" max="2" width="36.77734375" bestFit="1" customWidth="1"/>
    <col min="3" max="3" width="36.109375" bestFit="1" customWidth="1"/>
    <col min="4" max="4" width="14" customWidth="1"/>
    <col min="5" max="5" width="90" customWidth="1"/>
  </cols>
  <sheetData>
    <row r="1" spans="1:8" ht="23.4" x14ac:dyDescent="0.45">
      <c r="A1" s="16" t="s">
        <v>97</v>
      </c>
      <c r="B1" s="15"/>
      <c r="C1" s="15"/>
      <c r="D1" s="15"/>
      <c r="E1" s="15"/>
      <c r="F1" s="15"/>
      <c r="G1" s="15"/>
      <c r="H1" s="15"/>
    </row>
    <row r="2" spans="1:8" x14ac:dyDescent="0.3">
      <c r="A2" s="14" t="s">
        <v>98</v>
      </c>
      <c r="B2" s="15"/>
      <c r="C2" s="15"/>
      <c r="D2" s="15"/>
      <c r="E2" s="15"/>
      <c r="F2" s="15"/>
      <c r="G2" s="15"/>
      <c r="H2" s="15"/>
    </row>
    <row r="4" spans="1:8" x14ac:dyDescent="0.3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</row>
    <row r="5" spans="1:8" x14ac:dyDescent="0.3">
      <c r="A5" s="4" t="s">
        <v>104</v>
      </c>
      <c r="B5" s="4" t="s">
        <v>105</v>
      </c>
      <c r="C5" s="4" t="s">
        <v>105</v>
      </c>
      <c r="D5" s="11" t="s">
        <v>106</v>
      </c>
      <c r="E5" s="6" t="s">
        <v>107</v>
      </c>
    </row>
    <row r="6" spans="1:8" x14ac:dyDescent="0.3">
      <c r="A6" s="4" t="s">
        <v>108</v>
      </c>
      <c r="B6" s="4" t="s">
        <v>109</v>
      </c>
      <c r="C6" s="4" t="s">
        <v>110</v>
      </c>
      <c r="D6" s="11" t="s">
        <v>106</v>
      </c>
      <c r="E6" s="6" t="s">
        <v>111</v>
      </c>
    </row>
    <row r="7" spans="1:8" x14ac:dyDescent="0.3">
      <c r="A7" s="4" t="s">
        <v>112</v>
      </c>
      <c r="B7" s="4" t="s">
        <v>113</v>
      </c>
      <c r="C7" s="4" t="s">
        <v>114</v>
      </c>
      <c r="D7" s="11" t="s">
        <v>106</v>
      </c>
      <c r="E7" s="6" t="s">
        <v>115</v>
      </c>
    </row>
    <row r="8" spans="1:8" x14ac:dyDescent="0.3">
      <c r="A8" s="4" t="s">
        <v>6</v>
      </c>
      <c r="B8" s="4" t="s">
        <v>116</v>
      </c>
      <c r="C8" s="4" t="s">
        <v>116</v>
      </c>
      <c r="D8" s="11" t="s">
        <v>106</v>
      </c>
      <c r="E8" s="6" t="s">
        <v>117</v>
      </c>
    </row>
    <row r="9" spans="1:8" x14ac:dyDescent="0.3">
      <c r="A9" s="4" t="s">
        <v>118</v>
      </c>
      <c r="B9" s="4" t="s">
        <v>119</v>
      </c>
      <c r="C9" s="4" t="s">
        <v>120</v>
      </c>
      <c r="D9" s="11" t="s">
        <v>106</v>
      </c>
      <c r="E9" s="6" t="s">
        <v>121</v>
      </c>
    </row>
    <row r="10" spans="1:8" x14ac:dyDescent="0.3">
      <c r="A10" s="4" t="s">
        <v>122</v>
      </c>
      <c r="B10" s="4" t="s">
        <v>119</v>
      </c>
      <c r="C10" s="4" t="s">
        <v>120</v>
      </c>
      <c r="D10" s="11" t="s">
        <v>106</v>
      </c>
      <c r="E10" s="6" t="s">
        <v>123</v>
      </c>
    </row>
    <row r="11" spans="1:8" x14ac:dyDescent="0.3">
      <c r="A11" s="4" t="s">
        <v>124</v>
      </c>
      <c r="B11" s="4" t="s">
        <v>125</v>
      </c>
      <c r="C11" s="4" t="s">
        <v>126</v>
      </c>
      <c r="D11" s="11" t="s">
        <v>106</v>
      </c>
      <c r="E11" s="6" t="s">
        <v>127</v>
      </c>
    </row>
    <row r="12" spans="1:8" x14ac:dyDescent="0.3">
      <c r="A12" s="4" t="s">
        <v>128</v>
      </c>
      <c r="B12" s="4" t="s">
        <v>129</v>
      </c>
      <c r="C12" s="4" t="s">
        <v>130</v>
      </c>
      <c r="D12" s="11" t="s">
        <v>106</v>
      </c>
      <c r="E12" s="6" t="s">
        <v>131</v>
      </c>
    </row>
    <row r="13" spans="1:8" ht="28.8" x14ac:dyDescent="0.3">
      <c r="A13" s="4" t="s">
        <v>132</v>
      </c>
      <c r="B13" s="4" t="s">
        <v>133</v>
      </c>
      <c r="C13" s="4" t="s">
        <v>134</v>
      </c>
      <c r="D13" s="12" t="s">
        <v>135</v>
      </c>
      <c r="E13" s="6" t="s">
        <v>136</v>
      </c>
    </row>
    <row r="14" spans="1:8" x14ac:dyDescent="0.3">
      <c r="A14" s="4" t="s">
        <v>137</v>
      </c>
      <c r="B14" s="4" t="s">
        <v>138</v>
      </c>
      <c r="C14" s="4" t="s">
        <v>139</v>
      </c>
      <c r="D14" s="12" t="s">
        <v>135</v>
      </c>
      <c r="E14" s="6" t="s">
        <v>140</v>
      </c>
    </row>
    <row r="15" spans="1:8" x14ac:dyDescent="0.3">
      <c r="A15" s="4" t="s">
        <v>141</v>
      </c>
      <c r="B15" s="4" t="s">
        <v>142</v>
      </c>
      <c r="C15" s="4" t="s">
        <v>143</v>
      </c>
      <c r="D15" s="13" t="s">
        <v>144</v>
      </c>
      <c r="E15" s="6" t="s">
        <v>145</v>
      </c>
    </row>
  </sheetData>
  <autoFilter ref="A4:E15" xr:uid="{00000000-0009-0000-0000-000004000000}"/>
  <mergeCells count="2">
    <mergeCell ref="A2:H2"/>
    <mergeCell ref="A1:H1"/>
  </mergeCells>
  <conditionalFormatting sqref="D5:D15">
    <cfRule type="cellIs" dxfId="0" priority="1" operator="equal">
      <formula>"PASS"</formula>
    </cfRule>
  </conditionalFormatting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6" customWidth="1"/>
    <col min="2" max="2" width="55" customWidth="1"/>
    <col min="3" max="3" width="18" customWidth="1"/>
    <col min="4" max="4" width="25" customWidth="1"/>
    <col min="5" max="5" width="55" customWidth="1"/>
    <col min="6" max="6" width="20" customWidth="1"/>
  </cols>
  <sheetData>
    <row r="1" spans="1:8" ht="23.4" x14ac:dyDescent="0.45">
      <c r="A1" s="16" t="s">
        <v>146</v>
      </c>
      <c r="B1" s="15"/>
      <c r="C1" s="15"/>
      <c r="D1" s="15"/>
      <c r="E1" s="15"/>
      <c r="F1" s="15"/>
      <c r="G1" s="15"/>
      <c r="H1" s="15"/>
    </row>
    <row r="2" spans="1:8" x14ac:dyDescent="0.3">
      <c r="A2" s="14" t="s">
        <v>147</v>
      </c>
      <c r="B2" s="15"/>
      <c r="C2" s="15"/>
      <c r="D2" s="15"/>
      <c r="E2" s="15"/>
      <c r="F2" s="15"/>
      <c r="G2" s="15"/>
      <c r="H2" s="15"/>
    </row>
    <row r="4" spans="1:8" ht="28.8" x14ac:dyDescent="0.3">
      <c r="A4" s="3" t="s">
        <v>148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</row>
    <row r="5" spans="1:8" x14ac:dyDescent="0.3">
      <c r="A5" s="2" t="s">
        <v>16</v>
      </c>
      <c r="B5" s="2" t="s">
        <v>154</v>
      </c>
      <c r="C5" s="2" t="s">
        <v>155</v>
      </c>
      <c r="D5" s="2" t="s">
        <v>16</v>
      </c>
      <c r="E5" s="2" t="s">
        <v>156</v>
      </c>
      <c r="F5" s="2" t="s">
        <v>24</v>
      </c>
    </row>
    <row r="6" spans="1:8" x14ac:dyDescent="0.3">
      <c r="A6" s="2" t="s">
        <v>17</v>
      </c>
      <c r="B6" s="2" t="s">
        <v>157</v>
      </c>
      <c r="C6" s="2" t="s">
        <v>158</v>
      </c>
      <c r="D6" s="2" t="s">
        <v>159</v>
      </c>
      <c r="E6" s="2" t="s">
        <v>160</v>
      </c>
      <c r="F6" s="2" t="s">
        <v>24</v>
      </c>
    </row>
    <row r="7" spans="1:8" x14ac:dyDescent="0.3">
      <c r="A7" s="2" t="s">
        <v>18</v>
      </c>
      <c r="B7" s="2" t="s">
        <v>161</v>
      </c>
      <c r="C7" s="2" t="s">
        <v>158</v>
      </c>
      <c r="D7" s="2" t="s">
        <v>159</v>
      </c>
      <c r="E7" s="2" t="s">
        <v>162</v>
      </c>
      <c r="F7" s="2" t="s">
        <v>24</v>
      </c>
    </row>
    <row r="8" spans="1:8" x14ac:dyDescent="0.3">
      <c r="A8" s="2" t="s">
        <v>163</v>
      </c>
      <c r="B8" s="2" t="s">
        <v>164</v>
      </c>
      <c r="C8" s="2" t="s">
        <v>165</v>
      </c>
      <c r="D8" s="2" t="s">
        <v>116</v>
      </c>
      <c r="E8" s="2" t="s">
        <v>166</v>
      </c>
      <c r="F8" s="2" t="s">
        <v>167</v>
      </c>
    </row>
    <row r="9" spans="1:8" x14ac:dyDescent="0.3">
      <c r="A9" s="2" t="s">
        <v>20</v>
      </c>
      <c r="B9" s="2" t="s">
        <v>168</v>
      </c>
      <c r="C9" s="2" t="s">
        <v>158</v>
      </c>
      <c r="D9" s="2" t="s">
        <v>159</v>
      </c>
      <c r="E9" s="2" t="s">
        <v>153</v>
      </c>
      <c r="F9" s="2" t="s">
        <v>169</v>
      </c>
    </row>
    <row r="10" spans="1:8" x14ac:dyDescent="0.3">
      <c r="A10" s="2" t="s">
        <v>21</v>
      </c>
      <c r="B10" s="2" t="s">
        <v>170</v>
      </c>
      <c r="C10" s="2" t="s">
        <v>158</v>
      </c>
      <c r="D10" s="2" t="s">
        <v>158</v>
      </c>
      <c r="E10" s="2" t="s">
        <v>171</v>
      </c>
      <c r="F10" s="2" t="s">
        <v>169</v>
      </c>
    </row>
  </sheetData>
  <autoFilter ref="A4:F10" xr:uid="{00000000-0009-0000-0000-000005000000}"/>
  <mergeCells count="2">
    <mergeCell ref="A2:H2"/>
    <mergeCell ref="A1:H1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9"/>
  <sheetViews>
    <sheetView showGridLines="0" workbookViewId="0">
      <pane ySplit="4" topLeftCell="A5" activePane="bottomLeft" state="frozen"/>
      <selection pane="bottomLeft" activeCell="D13" sqref="D13"/>
    </sheetView>
  </sheetViews>
  <sheetFormatPr defaultRowHeight="14.4" x14ac:dyDescent="0.3"/>
  <cols>
    <col min="1" max="1" width="22" customWidth="1"/>
    <col min="2" max="2" width="12" customWidth="1"/>
    <col min="3" max="3" width="35" customWidth="1"/>
    <col min="4" max="4" width="55" customWidth="1"/>
    <col min="5" max="5" width="20" customWidth="1"/>
    <col min="6" max="6" width="90" customWidth="1"/>
  </cols>
  <sheetData>
    <row r="1" spans="1:8" ht="23.4" x14ac:dyDescent="0.45">
      <c r="A1" s="16" t="s">
        <v>172</v>
      </c>
      <c r="B1" s="15"/>
      <c r="C1" s="15"/>
      <c r="D1" s="15"/>
      <c r="E1" s="15"/>
      <c r="F1" s="15"/>
      <c r="G1" s="15"/>
      <c r="H1" s="15"/>
    </row>
    <row r="2" spans="1:8" x14ac:dyDescent="0.3">
      <c r="A2" s="14" t="s">
        <v>173</v>
      </c>
      <c r="B2" s="15"/>
      <c r="C2" s="15"/>
      <c r="D2" s="15"/>
      <c r="E2" s="15"/>
      <c r="F2" s="15"/>
      <c r="G2" s="15"/>
      <c r="H2" s="15"/>
    </row>
    <row r="4" spans="1:8" x14ac:dyDescent="0.3">
      <c r="A4" s="3" t="s">
        <v>174</v>
      </c>
      <c r="B4" s="3" t="s">
        <v>175</v>
      </c>
      <c r="C4" s="3" t="s">
        <v>176</v>
      </c>
      <c r="D4" s="3" t="s">
        <v>177</v>
      </c>
      <c r="E4" s="3" t="s">
        <v>151</v>
      </c>
      <c r="F4" s="3" t="s">
        <v>178</v>
      </c>
    </row>
    <row r="5" spans="1:8" ht="43.2" x14ac:dyDescent="0.3">
      <c r="A5" s="2" t="s">
        <v>179</v>
      </c>
      <c r="B5" s="2">
        <v>2021</v>
      </c>
      <c r="C5" s="2" t="s">
        <v>180</v>
      </c>
      <c r="D5" s="2" t="s">
        <v>181</v>
      </c>
      <c r="E5" s="2" t="s">
        <v>116</v>
      </c>
      <c r="F5" s="2" t="s">
        <v>182</v>
      </c>
    </row>
    <row r="6" spans="1:8" ht="43.2" x14ac:dyDescent="0.3">
      <c r="A6" s="2" t="s">
        <v>183</v>
      </c>
      <c r="B6" s="2">
        <v>2022</v>
      </c>
      <c r="C6" s="2" t="s">
        <v>184</v>
      </c>
      <c r="D6" s="2" t="s">
        <v>181</v>
      </c>
      <c r="E6" s="2" t="s">
        <v>116</v>
      </c>
      <c r="F6" s="2" t="s">
        <v>185</v>
      </c>
    </row>
    <row r="7" spans="1:8" ht="43.2" x14ac:dyDescent="0.3">
      <c r="A7" s="2" t="s">
        <v>186</v>
      </c>
      <c r="B7" s="2">
        <v>2023</v>
      </c>
      <c r="C7" s="2" t="s">
        <v>187</v>
      </c>
      <c r="D7" s="2" t="s">
        <v>181</v>
      </c>
      <c r="E7" s="2" t="s">
        <v>116</v>
      </c>
      <c r="F7" s="2" t="s">
        <v>188</v>
      </c>
    </row>
    <row r="8" spans="1:8" ht="43.2" x14ac:dyDescent="0.3">
      <c r="A8" s="2" t="s">
        <v>189</v>
      </c>
      <c r="B8" s="2">
        <v>2024</v>
      </c>
      <c r="C8" s="2" t="s">
        <v>190</v>
      </c>
      <c r="D8" s="2" t="s">
        <v>181</v>
      </c>
      <c r="E8" s="2" t="s">
        <v>116</v>
      </c>
      <c r="F8" s="2" t="s">
        <v>191</v>
      </c>
    </row>
    <row r="9" spans="1:8" ht="43.2" x14ac:dyDescent="0.3">
      <c r="A9" s="2" t="s">
        <v>192</v>
      </c>
      <c r="B9" s="2">
        <v>2025</v>
      </c>
      <c r="C9" s="2" t="s">
        <v>193</v>
      </c>
      <c r="D9" s="2" t="s">
        <v>181</v>
      </c>
      <c r="E9" s="2" t="s">
        <v>116</v>
      </c>
      <c r="F9" s="2" t="s">
        <v>194</v>
      </c>
    </row>
  </sheetData>
  <autoFilter ref="A4:F9" xr:uid="{00000000-0009-0000-0000-000006000000}"/>
  <mergeCells count="2">
    <mergeCell ref="A2:H2"/>
    <mergeCell ref="A1:H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Source Data</vt:lpstr>
      <vt:lpstr>Dashboard Data</vt:lpstr>
      <vt:lpstr>KPI Calculations</vt:lpstr>
      <vt:lpstr>Data Validation</vt:lpstr>
      <vt:lpstr>Data Dictionary</vt:lpstr>
      <vt:lpstr>Source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aldalbahi</dc:creator>
  <cp:lastModifiedBy>حنان شرار بن ذعار الدلبحي</cp:lastModifiedBy>
  <dcterms:created xsi:type="dcterms:W3CDTF">2026-10-22T14:13:23Z</dcterms:created>
  <dcterms:modified xsi:type="dcterms:W3CDTF">2026-10-24T01:52:21Z</dcterms:modified>
</cp:coreProperties>
</file>